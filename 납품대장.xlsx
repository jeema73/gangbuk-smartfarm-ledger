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월별조회" sheetId="1" state="visible" r:id="rId1"/>
    <sheet name="납품대장" sheetId="2" state="visible" r:id="rId2"/>
    <sheet name="납품확인서" sheetId="3" state="visible" r:id="rId3"/>
    <sheet name="협력매장 목록" sheetId="4" state="visible" r:id="rId4"/>
    <sheet name="9월 결제" sheetId="5" state="visible" r:id="rId5"/>
    <sheet name="10월 결제" sheetId="6" state="visible" r:id="rId6"/>
  </sheets>
  <definedNames>
    <definedName name="_xlnm.Print_Area" localSheetId="2">'납품확인서'!$A$1:$H$20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#,##0.0"/>
    <numFmt numFmtId="166" formatCode="_-* #,##0.0_-;\-* #,##0.0_-;_-* &quot;-&quot;_-;_-@_-"/>
    <numFmt numFmtId="167" formatCode="_-* #,##0_-;\-* #,##0_-;_-* &quot;-&quot;_-;_-@_-"/>
    <numFmt numFmtId="168" formatCode="yyyy/mm/dd;@"/>
    <numFmt numFmtId="169" formatCode="yy/mm/dd\(aaa\)"/>
    <numFmt numFmtId="170" formatCode="#,##0&quot;원&quot;"/>
    <numFmt numFmtId="171" formatCode="[$-F800]dddd\,\ mmmm\ dd\,\ yyyy"/>
    <numFmt numFmtId="172" formatCode="yyyy-mm-dd h:mm:ss"/>
  </numFmts>
  <fonts count="15">
    <font>
      <name val="맑은 고딕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22"/>
      <scheme val="minor"/>
    </font>
    <font>
      <name val="맑은 고딕"/>
      <charset val="129"/>
      <family val="3"/>
      <b val="1"/>
      <color theme="1"/>
      <sz val="11"/>
      <scheme val="minor"/>
    </font>
    <font>
      <name val="Aptos Narrow"/>
      <family val="2"/>
      <b val="1"/>
      <sz val="18"/>
    </font>
    <font>
      <name val="Aptos Narrow"/>
      <family val="2"/>
      <b val="1"/>
      <sz val="11"/>
    </font>
    <font>
      <name val="맑은 고딕"/>
      <family val="2"/>
      <sz val="11"/>
      <scheme val="minor"/>
    </font>
    <font>
      <name val="Aptos Narrow"/>
      <family val="2"/>
      <i val="1"/>
      <color rgb="FF808080"/>
      <sz val="9"/>
    </font>
    <font>
      <name val="Aptos Narrow"/>
      <family val="2"/>
      <b val="1"/>
      <color rgb="FFFFFFFF"/>
      <sz val="11"/>
    </font>
    <font>
      <name val="Aptos Narrow"/>
      <family val="2"/>
      <b val="1"/>
      <sz val="10"/>
    </font>
    <font>
      <name val="Aptos Narrow"/>
      <family val="2"/>
      <b val="1"/>
      <color rgb="FFFFFFFF"/>
      <sz val="12"/>
    </font>
    <font>
      <name val="맑은 고딕"/>
      <charset val="129"/>
      <family val="3"/>
      <b val="1"/>
      <color rgb="FF000000"/>
      <sz val="11"/>
      <scheme val="minor"/>
    </font>
    <font>
      <name val="맑은 고딕"/>
      <charset val="129"/>
      <family val="3"/>
      <color rgb="FF000000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3"/>
      <scheme val="minor"/>
    </font>
  </fonts>
  <fills count="13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0" tint="-0.0499893185216834"/>
        <bgColor indexed="65"/>
      </patternFill>
    </fill>
    <fill>
      <patternFill patternType="solid">
        <fgColor rgb="FFFFFFCC"/>
      </patternFill>
    </fill>
    <fill>
      <patternFill patternType="solid">
        <fgColor rgb="FFE2EFDA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4472C4"/>
      </bottom>
      <diagonal/>
    </border>
    <border>
      <left/>
      <right/>
      <top/>
      <bottom style="medium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4472C4"/>
      </top>
      <bottom style="double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4472C4"/>
      </top>
      <bottom/>
      <diagonal/>
    </border>
    <border>
      <left style="thin">
        <color rgb="FF4472C4"/>
      </left>
      <right/>
      <top/>
      <bottom/>
      <diagonal/>
    </border>
    <border>
      <left style="thin">
        <color rgb="FF4472C4"/>
      </left>
      <right style="thin">
        <color rgb="FF4472C4"/>
      </right>
      <top/>
      <bottom/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</borders>
  <cellStyleXfs count="2">
    <xf numFmtId="0" fontId="0" fillId="0" borderId="1" applyAlignment="1">
      <alignment vertical="center"/>
    </xf>
    <xf numFmtId="41" fontId="1" fillId="0" borderId="1" applyAlignment="1">
      <alignment vertical="center"/>
    </xf>
  </cellStyleXfs>
  <cellXfs count="196">
    <xf numFmtId="0" fontId="0" fillId="0" borderId="1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6" borderId="18" applyAlignment="1" pivotButton="0" quotePrefix="0" xfId="0">
      <alignment vertical="top"/>
    </xf>
    <xf numFmtId="49" fontId="8" fillId="8" borderId="19" applyAlignment="1" pivotButton="0" quotePrefix="0" xfId="0">
      <alignment horizontal="right" vertical="center"/>
    </xf>
    <xf numFmtId="3" fontId="8" fillId="8" borderId="19" applyAlignment="1" pivotButton="0" quotePrefix="0" xfId="0">
      <alignment horizontal="center" vertical="center"/>
    </xf>
    <xf numFmtId="49" fontId="8" fillId="8" borderId="19" applyAlignment="1" pivotButton="0" quotePrefix="0" xfId="0">
      <alignment horizontal="center" vertical="center"/>
    </xf>
    <xf numFmtId="0" fontId="6" fillId="0" borderId="20" applyAlignment="1" pivotButton="0" quotePrefix="0" xfId="0">
      <alignment vertical="top"/>
    </xf>
    <xf numFmtId="164" fontId="6" fillId="0" borderId="20" applyAlignment="1" pivotButton="0" quotePrefix="0" xfId="0">
      <alignment vertical="top"/>
    </xf>
    <xf numFmtId="3" fontId="6" fillId="0" borderId="20" applyAlignment="1" pivotButton="0" quotePrefix="0" xfId="0">
      <alignment vertical="top"/>
    </xf>
    <xf numFmtId="165" fontId="6" fillId="0" borderId="20" applyAlignment="1" pivotButton="0" quotePrefix="0" xfId="0">
      <alignment vertical="top"/>
    </xf>
    <xf numFmtId="0" fontId="8" fillId="9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2" applyAlignment="1" pivotButton="0" quotePrefix="0" xfId="0">
      <alignment vertical="center"/>
    </xf>
    <xf numFmtId="3" fontId="6" fillId="0" borderId="22" applyAlignment="1" pivotButton="0" quotePrefix="0" xfId="0">
      <alignment horizontal="right" vertical="center"/>
    </xf>
    <xf numFmtId="0" fontId="6" fillId="0" borderId="0" applyAlignment="1" pivotButton="0" quotePrefix="0" xfId="0">
      <alignment vertical="top"/>
    </xf>
    <xf numFmtId="0" fontId="5" fillId="7" borderId="23" applyAlignment="1" pivotButton="0" quotePrefix="0" xfId="0">
      <alignment horizontal="center" vertical="center"/>
    </xf>
    <xf numFmtId="0" fontId="5" fillId="7" borderId="23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1">
      <alignment horizontal="center" vertical="center"/>
    </xf>
    <xf numFmtId="167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/>
    </xf>
    <xf numFmtId="166" fontId="11" fillId="0" borderId="2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167" fontId="11" fillId="0" borderId="2" applyAlignment="1" pivotButton="0" quotePrefix="0" xfId="0">
      <alignment horizontal="center" vertical="center"/>
    </xf>
    <xf numFmtId="167" fontId="12" fillId="0" borderId="2" applyAlignment="1" pivotButton="0" quotePrefix="0" xfId="0">
      <alignment horizontal="center" vertical="center"/>
    </xf>
    <xf numFmtId="167" fontId="12" fillId="0" borderId="25" applyAlignment="1" pivotButton="0" quotePrefix="0" xfId="0">
      <alignment horizontal="center" vertical="center"/>
    </xf>
    <xf numFmtId="167" fontId="12" fillId="0" borderId="26" applyAlignment="1" pivotButton="0" quotePrefix="0" xfId="0">
      <alignment horizontal="center" vertical="center"/>
    </xf>
    <xf numFmtId="167" fontId="12" fillId="0" borderId="8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12" fillId="0" borderId="2" applyAlignment="1" pivotButton="0" quotePrefix="0" xfId="0">
      <alignment horizontal="center" vertical="center" shrinkToFit="1"/>
    </xf>
    <xf numFmtId="0" fontId="12" fillId="0" borderId="25" applyAlignment="1" pivotButton="0" quotePrefix="0" xfId="0">
      <alignment horizontal="center" vertical="center" shrinkToFit="1"/>
    </xf>
    <xf numFmtId="0" fontId="12" fillId="0" borderId="26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Continuous" vertical="center"/>
    </xf>
    <xf numFmtId="0" fontId="2" fillId="0" borderId="1" applyAlignment="1" pivotButton="0" quotePrefix="0" xfId="0">
      <alignment vertical="center"/>
    </xf>
    <xf numFmtId="0" fontId="3" fillId="2" borderId="2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1" fillId="0" borderId="2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 vertical="center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horizontal="right" vertical="center"/>
    </xf>
    <xf numFmtId="0" fontId="1" fillId="0" borderId="3" applyAlignment="1" pivotButton="0" quotePrefix="0" xfId="0">
      <alignment vertical="top"/>
    </xf>
    <xf numFmtId="0" fontId="1" fillId="0" borderId="3" applyAlignment="1" pivotButton="0" quotePrefix="0" xfId="0">
      <alignment horizontal="center" vertical="top"/>
    </xf>
    <xf numFmtId="0" fontId="3" fillId="4" borderId="5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shrinkToFit="1"/>
    </xf>
    <xf numFmtId="167" fontId="1" fillId="0" borderId="2" applyAlignment="1" pivotButton="0" quotePrefix="0" xfId="0">
      <alignment horizontal="center" vertical="center" shrinkToFit="1"/>
    </xf>
    <xf numFmtId="0" fontId="1" fillId="0" borderId="11" applyAlignment="1" pivotButton="0" quotePrefix="0" xfId="0">
      <alignment horizontal="center" vertical="center" shrinkToFit="1"/>
    </xf>
    <xf numFmtId="167" fontId="1" fillId="0" borderId="12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shrinkToFit="1"/>
    </xf>
    <xf numFmtId="167" fontId="1" fillId="0" borderId="9" applyAlignment="1" pivotButton="0" quotePrefix="0" xfId="0">
      <alignment horizontal="center" vertical="center" shrinkToFit="1"/>
    </xf>
    <xf numFmtId="0" fontId="1" fillId="0" borderId="13" applyAlignment="1" pivotButton="0" quotePrefix="0" xfId="0">
      <alignment horizontal="center" vertical="center" shrinkToFit="1"/>
    </xf>
    <xf numFmtId="167" fontId="1" fillId="0" borderId="14" applyAlignment="1" pivotButton="0" quotePrefix="0" xfId="0">
      <alignment horizontal="center" vertical="center" shrinkToFit="1"/>
    </xf>
    <xf numFmtId="0" fontId="3" fillId="2" borderId="2" applyAlignment="1" pivotButton="0" quotePrefix="0" xfId="0">
      <alignment horizontal="center" vertical="center"/>
    </xf>
    <xf numFmtId="14" fontId="3" fillId="2" borderId="2" applyAlignment="1" pivotButton="0" quotePrefix="0" xfId="0">
      <alignment horizontal="center" vertical="center"/>
    </xf>
    <xf numFmtId="167" fontId="3" fillId="2" borderId="2" applyAlignment="1" pivotButton="0" quotePrefix="0" xfId="1">
      <alignment horizontal="center" vertical="center"/>
    </xf>
    <xf numFmtId="167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shrinkToFit="1"/>
    </xf>
    <xf numFmtId="14" fontId="1" fillId="0" borderId="2" applyAlignment="1" pivotButton="0" quotePrefix="0" xfId="0">
      <alignment horizontal="center" vertical="center"/>
    </xf>
    <xf numFmtId="167" fontId="1" fillId="0" borderId="2" applyAlignment="1" pivotButton="0" quotePrefix="0" xfId="1">
      <alignment horizontal="center" vertical="center"/>
    </xf>
    <xf numFmtId="167" fontId="1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Continuous" vertical="center"/>
    </xf>
    <xf numFmtId="167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4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7" fontId="3" fillId="5" borderId="2" applyAlignment="1" pivotButton="0" quotePrefix="0" xfId="1">
      <alignment horizontal="center" vertical="center"/>
    </xf>
    <xf numFmtId="167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vertical="center"/>
    </xf>
    <xf numFmtId="167" fontId="3" fillId="0" borderId="2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Continuous" vertical="center"/>
    </xf>
    <xf numFmtId="167" fontId="3" fillId="0" borderId="15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3" fillId="0" borderId="1" applyAlignment="1" pivotButton="0" quotePrefix="0" xfId="0">
      <alignment horizontal="centerContinuous" vertical="center"/>
    </xf>
    <xf numFmtId="167" fontId="3" fillId="0" borderId="1" applyAlignment="1" pivotButton="0" quotePrefix="0" xfId="0">
      <alignment vertical="center"/>
    </xf>
    <xf numFmtId="3" fontId="6" fillId="0" borderId="22" applyAlignment="1" pivotButton="0" quotePrefix="0" xfId="0">
      <alignment vertical="center"/>
    </xf>
    <xf numFmtId="49" fontId="6" fillId="6" borderId="18" applyAlignment="1" pivotButton="0" quotePrefix="0" xfId="0">
      <alignment horizontal="center" vertical="top"/>
    </xf>
    <xf numFmtId="0" fontId="0" fillId="0" borderId="2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left" vertical="center" indent="2"/>
    </xf>
    <xf numFmtId="167" fontId="1" fillId="0" borderId="1" applyAlignment="1" pivotButton="0" quotePrefix="0" xfId="1">
      <alignment horizontal="center" vertical="center"/>
    </xf>
    <xf numFmtId="0" fontId="12" fillId="0" borderId="27" applyAlignment="1" pivotButton="0" quotePrefix="0" xfId="0">
      <alignment horizontal="center" vertical="center"/>
    </xf>
    <xf numFmtId="167" fontId="12" fillId="0" borderId="27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Continuous" vertical="center"/>
    </xf>
    <xf numFmtId="0" fontId="0" fillId="0" borderId="15" applyAlignment="1" pivotButton="0" quotePrefix="0" xfId="0">
      <alignment horizontal="centerContinuous" vertical="center"/>
    </xf>
    <xf numFmtId="0" fontId="1" fillId="0" borderId="15" applyAlignment="1" pivotButton="0" quotePrefix="0" xfId="0">
      <alignment horizontal="centerContinuous" vertical="center"/>
    </xf>
    <xf numFmtId="0" fontId="14" fillId="0" borderId="1" applyAlignment="1" pivotButton="0" quotePrefix="0" xfId="0">
      <alignment horizontal="right"/>
    </xf>
    <xf numFmtId="168" fontId="6" fillId="0" borderId="22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top"/>
    </xf>
    <xf numFmtId="0" fontId="12" fillId="0" borderId="21" applyAlignment="1" pivotButton="0" quotePrefix="0" xfId="0">
      <alignment horizontal="center" vertical="center"/>
    </xf>
    <xf numFmtId="167" fontId="12" fillId="0" borderId="21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/>
    </xf>
    <xf numFmtId="166" fontId="12" fillId="0" borderId="27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166" fontId="12" fillId="12" borderId="2" applyAlignment="1" pivotButton="0" quotePrefix="0" xfId="0">
      <alignment horizontal="center" vertical="center"/>
    </xf>
    <xf numFmtId="167" fontId="12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 shrinkToFit="1"/>
    </xf>
    <xf numFmtId="0" fontId="12" fillId="12" borderId="25" applyAlignment="1" pivotButton="0" quotePrefix="0" xfId="0">
      <alignment horizontal="center" vertical="center"/>
    </xf>
    <xf numFmtId="167" fontId="12" fillId="12" borderId="25" applyAlignment="1" pivotButton="0" quotePrefix="0" xfId="0">
      <alignment horizontal="center" vertical="center"/>
    </xf>
    <xf numFmtId="0" fontId="12" fillId="12" borderId="25" applyAlignment="1" pivotButton="0" quotePrefix="0" xfId="0">
      <alignment horizontal="center" vertical="center" shrinkToFit="1"/>
    </xf>
    <xf numFmtId="169" fontId="11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center" vertical="center"/>
    </xf>
    <xf numFmtId="169" fontId="12" fillId="0" borderId="25" applyAlignment="1" pivotButton="0" quotePrefix="0" xfId="0">
      <alignment horizontal="center" vertical="center"/>
    </xf>
    <xf numFmtId="169" fontId="12" fillId="12" borderId="2" applyAlignment="1" pivotButton="0" quotePrefix="0" xfId="0">
      <alignment horizontal="center" vertical="center"/>
    </xf>
    <xf numFmtId="169" fontId="12" fillId="12" borderId="25" applyAlignment="1" pivotButton="0" quotePrefix="0" xfId="0">
      <alignment horizontal="center" vertical="center"/>
    </xf>
    <xf numFmtId="169" fontId="12" fillId="0" borderId="26" applyAlignment="1" pivotButton="0" quotePrefix="0" xfId="0">
      <alignment horizontal="center" vertical="center"/>
    </xf>
    <xf numFmtId="169" fontId="1" fillId="0" borderId="1" applyAlignment="1" pivotButton="0" quotePrefix="0" xfId="0">
      <alignment horizontal="center" vertical="center"/>
    </xf>
    <xf numFmtId="169" fontId="1" fillId="0" borderId="21" applyAlignment="1" pivotButton="0" quotePrefix="0" xfId="0">
      <alignment horizontal="center" vertical="center"/>
    </xf>
    <xf numFmtId="170" fontId="0" fillId="0" borderId="17" applyAlignment="1" pivotButton="0" quotePrefix="0" xfId="0">
      <alignment horizontal="center" vertical="center"/>
    </xf>
    <xf numFmtId="170" fontId="1" fillId="0" borderId="16" applyAlignment="1" pivotButton="0" quotePrefix="0" xfId="0">
      <alignment horizontal="center" vertical="center"/>
    </xf>
    <xf numFmtId="170" fontId="1" fillId="0" borderId="11" applyAlignment="1" pivotButton="0" quotePrefix="0" xfId="0">
      <alignment horizontal="center" vertical="center"/>
    </xf>
    <xf numFmtId="171" fontId="2" fillId="0" borderId="17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0" fillId="8" borderId="2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7" borderId="23" applyAlignment="1" pivotButton="0" quotePrefix="0" xfId="0">
      <alignment vertical="center"/>
    </xf>
    <xf numFmtId="0" fontId="5" fillId="7" borderId="23" applyAlignment="1" pivotButton="0" quotePrefix="0" xfId="0">
      <alignment horizontal="right" vertical="center"/>
    </xf>
    <xf numFmtId="0" fontId="9" fillId="10" borderId="24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7" fillId="0" borderId="0" applyAlignment="1" pivotButton="0" quotePrefix="0" xfId="0">
      <alignment vertical="top"/>
    </xf>
    <xf numFmtId="0" fontId="5" fillId="7" borderId="0" applyAlignment="1" pivotButton="0" quotePrefix="0" xfId="0">
      <alignment vertical="top"/>
    </xf>
    <xf numFmtId="167" fontId="8" fillId="8" borderId="19" applyAlignment="1" pivotButton="0" quotePrefix="0" xfId="0">
      <alignment horizontal="center" vertical="center"/>
    </xf>
    <xf numFmtId="167" fontId="1" fillId="0" borderId="1" applyAlignment="1" pivotButton="0" quotePrefix="0" xfId="1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167" fontId="8" fillId="8" borderId="19" applyAlignment="1" pivotButton="0" quotePrefix="0" xfId="0">
      <alignment horizontal="center" vertical="center"/>
    </xf>
    <xf numFmtId="0" fontId="0" fillId="0" borderId="19" pivotButton="0" quotePrefix="0" xfId="0"/>
    <xf numFmtId="164" fontId="6" fillId="0" borderId="20" applyAlignment="1" pivotButton="0" quotePrefix="0" xfId="0">
      <alignment vertical="top"/>
    </xf>
    <xf numFmtId="165" fontId="6" fillId="0" borderId="20" applyAlignment="1" pivotButton="0" quotePrefix="0" xfId="0">
      <alignment vertical="top"/>
    </xf>
    <xf numFmtId="168" fontId="6" fillId="0" borderId="22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top"/>
    </xf>
    <xf numFmtId="0" fontId="0" fillId="0" borderId="23" pivotButton="0" quotePrefix="0" xfId="0"/>
    <xf numFmtId="0" fontId="0" fillId="0" borderId="33" pivotButton="0" quotePrefix="0" xfId="0"/>
    <xf numFmtId="0" fontId="0" fillId="0" borderId="16" pivotButton="0" quotePrefix="0" xfId="0"/>
    <xf numFmtId="0" fontId="0" fillId="0" borderId="11" pivotButton="0" quotePrefix="0" xfId="0"/>
    <xf numFmtId="169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7" fontId="1" fillId="0" borderId="1" applyAlignment="1" pivotButton="0" quotePrefix="0" xfId="1">
      <alignment horizontal="center" vertical="center"/>
    </xf>
    <xf numFmtId="167" fontId="1" fillId="0" borderId="1" applyAlignment="1" pivotButton="0" quotePrefix="0" xfId="0">
      <alignment horizontal="center" vertical="center"/>
    </xf>
    <xf numFmtId="169" fontId="11" fillId="0" borderId="2" applyAlignment="1" pivotButton="0" quotePrefix="0" xfId="0">
      <alignment horizontal="center" vertical="center"/>
    </xf>
    <xf numFmtId="166" fontId="11" fillId="0" borderId="2" applyAlignment="1" pivotButton="0" quotePrefix="0" xfId="0">
      <alignment horizontal="center" vertical="center"/>
    </xf>
    <xf numFmtId="167" fontId="11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center" vertical="center"/>
    </xf>
    <xf numFmtId="166" fontId="12" fillId="0" borderId="2" applyAlignment="1" pivotButton="0" quotePrefix="0" xfId="0">
      <alignment horizontal="center" vertical="center"/>
    </xf>
    <xf numFmtId="167" fontId="12" fillId="0" borderId="2" applyAlignment="1" pivotButton="0" quotePrefix="0" xfId="0">
      <alignment horizontal="center" vertical="center"/>
    </xf>
    <xf numFmtId="169" fontId="12" fillId="0" borderId="25" applyAlignment="1" pivotButton="0" quotePrefix="0" xfId="0">
      <alignment horizontal="center" vertical="center"/>
    </xf>
    <xf numFmtId="167" fontId="12" fillId="0" borderId="25" applyAlignment="1" pivotButton="0" quotePrefix="0" xfId="0">
      <alignment horizontal="center" vertical="center"/>
    </xf>
    <xf numFmtId="169" fontId="12" fillId="12" borderId="2" applyAlignment="1" pivotButton="0" quotePrefix="0" xfId="0">
      <alignment horizontal="center" vertical="center"/>
    </xf>
    <xf numFmtId="166" fontId="12" fillId="12" borderId="2" applyAlignment="1" pivotButton="0" quotePrefix="0" xfId="0">
      <alignment horizontal="center" vertical="center"/>
    </xf>
    <xf numFmtId="167" fontId="12" fillId="12" borderId="2" applyAlignment="1" pivotButton="0" quotePrefix="0" xfId="0">
      <alignment horizontal="center" vertical="center"/>
    </xf>
    <xf numFmtId="169" fontId="12" fillId="12" borderId="25" applyAlignment="1" pivotButton="0" quotePrefix="0" xfId="0">
      <alignment horizontal="center" vertical="center"/>
    </xf>
    <xf numFmtId="167" fontId="12" fillId="12" borderId="25" applyAlignment="1" pivotButton="0" quotePrefix="0" xfId="0">
      <alignment horizontal="center" vertical="center"/>
    </xf>
    <xf numFmtId="169" fontId="12" fillId="0" borderId="26" applyAlignment="1" pivotButton="0" quotePrefix="0" xfId="0">
      <alignment horizontal="center" vertical="center"/>
    </xf>
    <xf numFmtId="167" fontId="12" fillId="0" borderId="26" applyAlignment="1" pivotButton="0" quotePrefix="0" xfId="0">
      <alignment horizontal="center" vertical="center"/>
    </xf>
    <xf numFmtId="167" fontId="12" fillId="0" borderId="8" applyAlignment="1" pivotButton="0" quotePrefix="0" xfId="0">
      <alignment horizontal="center" vertical="center"/>
    </xf>
    <xf numFmtId="167" fontId="12" fillId="0" borderId="27" applyAlignment="1" pivotButton="0" quotePrefix="0" xfId="0">
      <alignment horizontal="center" vertical="center"/>
    </xf>
    <xf numFmtId="167" fontId="12" fillId="0" borderId="21" applyAlignment="1" pivotButton="0" quotePrefix="0" xfId="0">
      <alignment horizontal="center" vertical="center"/>
    </xf>
    <xf numFmtId="169" fontId="1" fillId="0" borderId="21" applyAlignment="1" pivotButton="0" quotePrefix="0" xfId="0">
      <alignment horizontal="center" vertical="center"/>
    </xf>
    <xf numFmtId="166" fontId="12" fillId="0" borderId="27" applyAlignment="1" pivotButton="0" quotePrefix="0" xfId="0">
      <alignment horizontal="center" vertical="center"/>
    </xf>
    <xf numFmtId="171" fontId="2" fillId="0" borderId="21" applyAlignment="1" pivotButton="0" quotePrefix="0" xfId="0">
      <alignment horizontal="center" vertical="center"/>
    </xf>
    <xf numFmtId="170" fontId="0" fillId="0" borderId="21" applyAlignment="1" pivotButton="0" quotePrefix="0" xfId="0">
      <alignment horizontal="center" vertical="center"/>
    </xf>
    <xf numFmtId="167" fontId="1" fillId="0" borderId="2" applyAlignment="1" pivotButton="0" quotePrefix="0" xfId="0">
      <alignment horizontal="center" vertical="center" shrinkToFit="1"/>
    </xf>
    <xf numFmtId="167" fontId="1" fillId="0" borderId="12" applyAlignment="1" pivotButton="0" quotePrefix="0" xfId="0">
      <alignment horizontal="center" vertical="center" shrinkToFit="1"/>
    </xf>
    <xf numFmtId="167" fontId="1" fillId="0" borderId="9" applyAlignment="1" pivotButton="0" quotePrefix="0" xfId="0">
      <alignment horizontal="center" vertical="center" shrinkToFit="1"/>
    </xf>
    <xf numFmtId="167" fontId="1" fillId="0" borderId="14" applyAlignment="1" pivotButton="0" quotePrefix="0" xfId="0">
      <alignment horizontal="center" vertical="center" shrinkToFit="1"/>
    </xf>
    <xf numFmtId="167" fontId="3" fillId="2" borderId="2" applyAlignment="1" pivotButton="0" quotePrefix="0" xfId="1">
      <alignment horizontal="center" vertical="center"/>
    </xf>
    <xf numFmtId="167" fontId="3" fillId="2" borderId="2" applyAlignment="1" pivotButton="0" quotePrefix="0" xfId="0">
      <alignment horizontal="center" vertical="center"/>
    </xf>
    <xf numFmtId="167" fontId="1" fillId="0" borderId="2" applyAlignment="1" pivotButton="0" quotePrefix="0" xfId="1">
      <alignment horizontal="center" vertical="center"/>
    </xf>
    <xf numFmtId="167" fontId="1" fillId="0" borderId="2" applyAlignment="1" pivotButton="0" quotePrefix="0" xfId="0">
      <alignment horizontal="center" vertical="center"/>
    </xf>
    <xf numFmtId="167" fontId="3" fillId="0" borderId="2" applyAlignment="1" pivotButton="0" quotePrefix="0" xfId="0">
      <alignment vertical="center"/>
    </xf>
    <xf numFmtId="167" fontId="3" fillId="5" borderId="2" applyAlignment="1" pivotButton="0" quotePrefix="0" xfId="1">
      <alignment horizontal="center" vertical="center"/>
    </xf>
    <xf numFmtId="167" fontId="3" fillId="5" borderId="2" applyAlignment="1" pivotButton="0" quotePrefix="0" xfId="0">
      <alignment horizontal="center" vertical="center"/>
    </xf>
    <xf numFmtId="167" fontId="3" fillId="0" borderId="2" applyAlignment="1" pivotButton="0" quotePrefix="0" xfId="0">
      <alignment horizontal="center" vertical="center"/>
    </xf>
    <xf numFmtId="167" fontId="3" fillId="0" borderId="15" applyAlignment="1" pivotButton="0" quotePrefix="0" xfId="0">
      <alignment vertical="center"/>
    </xf>
    <xf numFmtId="167" fontId="3" fillId="0" borderId="1" applyAlignment="1" pivotButton="0" quotePrefix="0" xfId="0">
      <alignment vertical="center"/>
    </xf>
    <xf numFmtId="172" fontId="0" fillId="0" borderId="0" pivotButton="0" quotePrefix="0" xfId="0"/>
  </cellXfs>
  <cellStyles count="2">
    <cellStyle name="표준" xfId="0" builtinId="0"/>
    <cellStyle name="쉼표 [0]" xfId="1"/>
  </cellStyles>
  <dxfs count="12">
    <dxf>
      <fill>
        <patternFill patternType="solid">
          <bgColor theme="9" tint="0.7999816888943144"/>
        </patternFill>
      </fill>
    </dxf>
    <dxf>
      <alignment horizontal="center" vertical="center" shrinkToFit="1"/>
    </dxf>
    <dxf>
      <numFmt numFmtId="182" formatCode="yy/mm/dd\(aaa\)"/>
      <alignment horizontal="center" vertical="center"/>
    </dxf>
    <dxf>
      <numFmt numFmtId="33" formatCode="_-* #,##0_-;\-* #,##0_-;_-* &quot;-&quot;_-;_-@_-"/>
      <alignment horizontal="center" vertical="center"/>
    </dxf>
    <dxf>
      <font>
        <name val="맑은 고딕"/>
        <sz val="11"/>
        <scheme val="minor"/>
      </font>
      <numFmt numFmtId="33" formatCode="_-* #,##0_-;\-* #,##0_-;_-* &quot;-&quot;_-;_-@_-"/>
      <alignment horizontal="center" vertical="center"/>
    </dxf>
    <dxf>
      <numFmt numFmtId="177" formatCode="_-* #,##0.0_-;\-* #,##0.0_-;_-* &quot;-&quot;_-;_-@_-"/>
      <alignment horizontal="center" vertical="center"/>
    </dxf>
    <dxf>
      <alignment horizontal="center" vertical="center"/>
    </dxf>
    <dxf>
      <alignment horizontal="center" vertical="center"/>
    </dxf>
    <dxf>
      <numFmt numFmtId="182" formatCode="yy/mm/dd\(aaa\)"/>
      <alignment horizontal="center" vertical="center"/>
    </dxf>
    <dxf>
      <alignment horizontal="center" vertical="center"/>
    </dxf>
    <dxf>
      <font>
        <name val="맑은 고딕"/>
        <b val="1"/>
        <sz val="11"/>
        <scheme val="minor"/>
      </font>
      <numFmt numFmtId="33" formatCode="_-* #,##0_-;\-* #,##0_-;_-* &quot;-&quot;_-;_-@_-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표 스타일 1" pivot="0" count="1">
      <tableStyleElement type="wholeTabl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240195</colOff>
      <row>8</row>
      <rowOff>29649</rowOff>
    </from>
    <to>
      <col>8</col>
      <colOff>25676</colOff>
      <row>9</row>
      <rowOff>38926</rowOff>
    </to>
    <pic>
      <nvPicPr>
        <cNvPr id="3" name="그림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499652" y="3872779"/>
          <a:ext cx="646872" cy="3240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표1" displayName="표1" ref="A1:I225" headerRowCount="1" headerRowDxfId="10">
  <autoFilter ref="A1:I225"/>
  <tableColumns count="9">
    <tableColumn id="1" name="연번" dataDxfId="9"/>
    <tableColumn id="2" name="주문일자" dataDxfId="8"/>
    <tableColumn id="3" name="매장명" dataDxfId="7"/>
    <tableColumn id="4" name="작물명" dataDxfId="6"/>
    <tableColumn id="9" name="단가" dataDxfId="5">
      <calculatedColumnFormula>VLOOKUP(표1[[#This Row],[작물명]],$K$2:$L$5,2,FALSE)</calculatedColumnFormula>
    </tableColumn>
    <tableColumn id="5" name="주문수량(g)" dataDxfId="4"/>
    <tableColumn id="6" name="금액" dataDxfId="3"/>
    <tableColumn id="7" name="납품일자" dataDxfId="2"/>
    <tableColumn id="8" name="비고" dataDxfId="1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4" sqref="A4:F4"/>
    </sheetView>
  </sheetViews>
  <sheetFormatPr baseColWidth="8" defaultColWidth="14" defaultRowHeight="15" customHeight="1"/>
  <sheetData>
    <row r="1" ht="28.5" customHeight="1" s="141">
      <c r="A1" s="142" t="inlineStr">
        <is>
          <t>월별 납품 내역서</t>
        </is>
      </c>
    </row>
    <row r="3" ht="18" customHeight="1" s="141">
      <c r="A3" s="1" t="inlineStr">
        <is>
          <t>매장명</t>
        </is>
      </c>
      <c r="B3" s="2" t="inlineStr">
        <is>
          <t>까미노</t>
        </is>
      </c>
      <c r="D3" s="1" t="inlineStr">
        <is>
          <t>조회월</t>
        </is>
      </c>
      <c r="E3" s="92" t="inlineStr">
        <is>
          <t>2026-06</t>
        </is>
      </c>
    </row>
    <row r="4" ht="15" customHeight="1" s="141">
      <c r="A4" s="143" t="n"/>
    </row>
    <row r="5" ht="18" customHeight="1" s="141">
      <c r="A5" s="144" t="n"/>
    </row>
    <row r="6" ht="18" customHeight="1" s="141">
      <c r="A6" s="3" t="inlineStr">
        <is>
          <t>총 납품 건수:</t>
        </is>
      </c>
      <c r="B6" s="4">
        <f>COUNTIFS(납품대장!C:C,B3,납품대장!B:B,"&gt;="&amp;DATE(LEFT(E3,4),MID(E3,6,2),1),납품대장!B:B,"&lt;"&amp;DATE(LEFT(E3,4),MID(E3,6,2)+1,1),납품대장!G:G,"&gt;0")</f>
        <v/>
      </c>
      <c r="C6" s="5" t="inlineStr">
        <is>
          <t>건</t>
        </is>
      </c>
      <c r="D6" s="3" t="inlineStr">
        <is>
          <t>총 금액:</t>
        </is>
      </c>
      <c r="E6" s="145">
        <f>SUMIFS(납품대장!G:G,납품대장!C:C,B3,납품대장!B:B,"&gt;="&amp;DATE(LEFT(E3,4),MID(E3,6,2),1),납품대장!B:B,"&lt;"&amp;DATE(LEFT(E3,4),MID(E3,6,2)+1,1),납품대장!G:G,"&gt;0")</f>
        <v/>
      </c>
      <c r="F6" s="146" t="n"/>
    </row>
    <row r="7" ht="15.75" customHeight="1" s="141">
      <c r="A7" s="6" t="n"/>
      <c r="B7" s="147" t="n"/>
      <c r="C7" s="6" t="n"/>
      <c r="D7" s="8" t="n"/>
      <c r="E7" s="148" t="n"/>
      <c r="F7" s="8" t="n"/>
    </row>
    <row r="8" ht="18" customHeight="1" s="141">
      <c r="A8" s="10" t="inlineStr">
        <is>
          <t>No</t>
        </is>
      </c>
      <c r="B8" s="10" t="inlineStr">
        <is>
          <t>납품일</t>
        </is>
      </c>
      <c r="C8" s="10" t="inlineStr">
        <is>
          <t>작물명</t>
        </is>
      </c>
      <c r="D8" s="10" t="inlineStr">
        <is>
          <t>수량(g)</t>
        </is>
      </c>
      <c r="E8" s="10" t="inlineStr">
        <is>
          <t>단가</t>
        </is>
      </c>
      <c r="F8" s="10" t="inlineStr">
        <is>
          <t>금액</t>
        </is>
      </c>
    </row>
    <row r="9" ht="15.75" customHeight="1" s="141">
      <c r="A9" s="11">
        <f>IF(ROWS($A$9:A9)&lt;=COUNTIFS(납품대장!$C:$C,$B$3,납품대장!$B:$B,"&gt;="&amp;DATE(LEFT($E$3,4),MID($E$3,6,2),1),납품대장!$B:$B,"&lt;"&amp;DATE(LEFT($E$3,4),MID($E$3,6,2)+1,1),납품대장!$G:$G,"&gt;0"),ROWS($A$9:A9),"")</f>
        <v/>
      </c>
      <c r="B9" s="149">
        <f t="array" ref="B9">IFERROR(INDEX(납품대장!$H$2:$H$225,SMALL(IF((납품대장!$C$2:$C$225=$B$3)*(MONTH(납품대장!$B$2:$B$225)=MID($E$3,6,2)*1)*(YEAR(납품대장!$B$2:$B$225)=LEFT($E$3,4)*1)*(납품대장!$G$2:$G$225&gt;0),ROW(납품대장!$H$2:$H$225)-1),ROWS($B$9:B9))),"")</f>
        <v/>
      </c>
      <c r="C9" s="12">
        <f t="array" ref="C9">IFERROR(INDEX(납품대장!$D$2:$D$225,SMALL(IF((납품대장!$C$2:$C$225=$B$3)*(MONTH(납품대장!$B$2:$B$225)=MID($E$3,6,2)*1)*(YEAR(납품대장!$B$2:$B$225)=LEFT($E$3,4)*1)*(납품대장!$G$2:$G$225&gt;0),ROW(납품대장!$D$2:$D$225)-1),ROWS($C$9:C9))),"")</f>
        <v/>
      </c>
      <c r="D9" s="91">
        <f t="array" ref="D9">IFERROR(INDEX(납품대장!$F$2:$F$225,SMALL(IF((납품대장!$C$2:$C$225=$B$3)*(MONTH(납품대장!$B$2:$B$225)=MID($E$3,6,2)*1)*(YEAR(납품대장!$B$2:$B$225)=LEFT($E$3,4)*1)*(납품대장!$G$2:$G$225&gt;0),ROW(납품대장!$F$2:$F$225)-1),ROWS($D$9:D9))),"")</f>
        <v/>
      </c>
      <c r="E9" s="91">
        <f t="array" ref="E9">IFERROR(INDEX(납품대장!$E$2:$E$225,SMALL(IF((납품대장!$C$2:$C$225=$B$3)*(MONTH(납품대장!$B$2:$B$225)=MID($E$3,6,2)*1)*(YEAR(납품대장!$B$2:$B$225)=LEFT($E$3,4)*1)*(납품대장!$G$2:$G$225&gt;0),ROW(납품대장!$E$2:$E$225)-1),ROWS($E$9:E9))),"")</f>
        <v/>
      </c>
      <c r="F9" s="91">
        <f t="array" ref="F9">IFERROR(INDEX(납품대장!$G$2:$G$225,SMALL(IF((납품대장!$C$2:$C$225=$B$3)*(MONTH(납품대장!$B$2:$B$225)=MID($E$3,6,2)*1)*(YEAR(납품대장!$B$2:$B$225)=LEFT($E$3,4)*1)*(납품대장!$G$2:$G$225&gt;0),ROW(납품대장!$G$2:$G$225)-1),ROWS($F$9:F9))),"")</f>
        <v/>
      </c>
    </row>
    <row r="10" ht="15.75" customHeight="1" s="141">
      <c r="A10" s="11">
        <f>IF(ROWS($A$9:A10)&lt;=COUNTIFS(납품대장!$C:$C,$B$3,납품대장!$B:$B,"&gt;="&amp;DATE(LEFT($E$3,4),MID($E$3,6,2),1),납품대장!$B:$B,"&lt;"&amp;DATE(LEFT($E$3,4),MID($E$3,6,2)+1,1),납품대장!$G:$G,"&gt;0"),ROWS($A$9:A10),"")</f>
        <v/>
      </c>
      <c r="B10" s="149">
        <f t="array" ref="B10">IFERROR(INDEX(납품대장!$H$2:$H$225,SMALL(IF((납품대장!$C$2:$C$225=$B$3)*(MONTH(납품대장!$B$2:$B$225)=MID($E$3,6,2)*1)*(YEAR(납품대장!$B$2:$B$225)=LEFT($E$3,4)*1)*(납품대장!$G$2:$G$225&gt;0),ROW(납품대장!$H$2:$H$225)-1),ROWS($B$9:B10))),"")</f>
        <v/>
      </c>
      <c r="C10" s="12">
        <f t="array" ref="C10">IFERROR(INDEX(납품대장!$D$2:$D$225,SMALL(IF((납품대장!$C$2:$C$225=$B$3)*(MONTH(납품대장!$B$2:$B$225)=MID($E$3,6,2)*1)*(YEAR(납품대장!$B$2:$B$225)=LEFT($E$3,4)*1)*(납품대장!$G$2:$G$225&gt;0),ROW(납품대장!$D$2:$D$225)-1),ROWS($C$9:C10))),"")</f>
        <v/>
      </c>
      <c r="D10" s="91">
        <f t="array" ref="D10">IFERROR(INDEX(납품대장!$F$2:$F$225,SMALL(IF((납품대장!$C$2:$C$225=$B$3)*(MONTH(납품대장!$B$2:$B$225)=MID($E$3,6,2)*1)*(YEAR(납품대장!$B$2:$B$225)=LEFT($E$3,4)*1)*(납품대장!$G$2:$G$225&gt;0),ROW(납품대장!$F$2:$F$225)-1),ROWS($D$9:D10))),"")</f>
        <v/>
      </c>
      <c r="E10" s="91">
        <f t="array" ref="E10">IFERROR(INDEX(납품대장!$E$2:$E$225,SMALL(IF((납품대장!$C$2:$C$225=$B$3)*(MONTH(납품대장!$B$2:$B$225)=MID($E$3,6,2)*1)*(YEAR(납품대장!$B$2:$B$225)=LEFT($E$3,4)*1)*(납품대장!$G$2:$G$225&gt;0),ROW(납품대장!$E$2:$E$225)-1),ROWS($E$9:E10))),"")</f>
        <v/>
      </c>
      <c r="F10" s="91">
        <f t="array" ref="F10">IFERROR(INDEX(납품대장!$G$2:$G$225,SMALL(IF((납품대장!$C$2:$C$225=$B$3)*(MONTH(납품대장!$B$2:$B$225)=MID($E$3,6,2)*1)*(YEAR(납품대장!$B$2:$B$225)=LEFT($E$3,4)*1)*(납품대장!$G$2:$G$225&gt;0),ROW(납품대장!$G$2:$G$225)-1),ROWS($F$9:F10))),"")</f>
        <v/>
      </c>
    </row>
    <row r="11" ht="15.75" customHeight="1" s="141">
      <c r="A11" s="11">
        <f>IF(ROWS($A$9:A11)&lt;=COUNTIFS(납품대장!$C:$C,$B$3,납품대장!$B:$B,"&gt;="&amp;DATE(LEFT($E$3,4),MID($E$3,6,2),1),납품대장!$B:$B,"&lt;"&amp;DATE(LEFT($E$3,4),MID($E$3,6,2)+1,1),납품대장!$G:$G,"&gt;0"),ROWS($A$9:A11),"")</f>
        <v/>
      </c>
      <c r="B11" s="149">
        <f t="array" ref="B11">IFERROR(INDEX(납품대장!$H$2:$H$225,SMALL(IF((납품대장!$C$2:$C$225=$B$3)*(MONTH(납품대장!$B$2:$B$225)=MID($E$3,6,2)*1)*(YEAR(납품대장!$B$2:$B$225)=LEFT($E$3,4)*1)*(납품대장!$G$2:$G$225&gt;0),ROW(납품대장!$H$2:$H$225)-1),ROWS($B$9:B11))),"")</f>
        <v/>
      </c>
      <c r="C11" s="12">
        <f t="array" ref="C11">IFERROR(INDEX(납품대장!$D$2:$D$225,SMALL(IF((납품대장!$C$2:$C$225=$B$3)*(MONTH(납품대장!$B$2:$B$225)=MID($E$3,6,2)*1)*(YEAR(납품대장!$B$2:$B$225)=LEFT($E$3,4)*1)*(납품대장!$G$2:$G$225&gt;0),ROW(납품대장!$D$2:$D$225)-1),ROWS($C$9:C11))),"")</f>
        <v/>
      </c>
      <c r="D11" s="91">
        <f t="array" ref="D11">IFERROR(INDEX(납품대장!$F$2:$F$225,SMALL(IF((납품대장!$C$2:$C$225=$B$3)*(MONTH(납품대장!$B$2:$B$225)=MID($E$3,6,2)*1)*(YEAR(납품대장!$B$2:$B$225)=LEFT($E$3,4)*1)*(납품대장!$G$2:$G$225&gt;0),ROW(납품대장!$F$2:$F$225)-1),ROWS($D$9:D11))),"")</f>
        <v/>
      </c>
      <c r="E11" s="91">
        <f t="array" ref="E11">IFERROR(INDEX(납품대장!$E$2:$E$225,SMALL(IF((납품대장!$C$2:$C$225=$B$3)*(MONTH(납품대장!$B$2:$B$225)=MID($E$3,6,2)*1)*(YEAR(납품대장!$B$2:$B$225)=LEFT($E$3,4)*1)*(납품대장!$G$2:$G$225&gt;0),ROW(납품대장!$E$2:$E$225)-1),ROWS($E$9:E11))),"")</f>
        <v/>
      </c>
      <c r="F11" s="91">
        <f t="array" ref="F11">IFERROR(INDEX(납품대장!$G$2:$G$225,SMALL(IF((납품대장!$C$2:$C$225=$B$3)*(MONTH(납품대장!$B$2:$B$225)=MID($E$3,6,2)*1)*(YEAR(납품대장!$B$2:$B$225)=LEFT($E$3,4)*1)*(납품대장!$G$2:$G$225&gt;0),ROW(납품대장!$G$2:$G$225)-1),ROWS($F$9:F11))),"")</f>
        <v/>
      </c>
    </row>
    <row r="12" ht="15.75" customHeight="1" s="141">
      <c r="A12" s="11">
        <f>IF(ROWS($A$9:A12)&lt;=COUNTIFS(납품대장!$C:$C,$B$3,납품대장!$B:$B,"&gt;="&amp;DATE(LEFT($E$3,4),MID($E$3,6,2),1),납품대장!$B:$B,"&lt;"&amp;DATE(LEFT($E$3,4),MID($E$3,6,2)+1,1),납품대장!$G:$G,"&gt;0"),ROWS($A$9:A12),"")</f>
        <v/>
      </c>
      <c r="B12" s="149">
        <f t="array" ref="B12">IFERROR(INDEX(납품대장!$H$2:$H$225,SMALL(IF((납품대장!$C$2:$C$225=$B$3)*(MONTH(납품대장!$B$2:$B$225)=MID($E$3,6,2)*1)*(YEAR(납품대장!$B$2:$B$225)=LEFT($E$3,4)*1)*(납품대장!$G$2:$G$225&gt;0),ROW(납품대장!$H$2:$H$225)-1),ROWS($B$9:B12))),"")</f>
        <v/>
      </c>
      <c r="C12" s="12">
        <f t="array" ref="C12">IFERROR(INDEX(납품대장!$D$2:$D$225,SMALL(IF((납품대장!$C$2:$C$225=$B$3)*(MONTH(납품대장!$B$2:$B$225)=MID($E$3,6,2)*1)*(YEAR(납품대장!$B$2:$B$225)=LEFT($E$3,4)*1)*(납품대장!$G$2:$G$225&gt;0),ROW(납품대장!$D$2:$D$225)-1),ROWS($C$9:C12))),"")</f>
        <v/>
      </c>
      <c r="D12" s="91">
        <f t="array" ref="D12">IFERROR(INDEX(납품대장!$F$2:$F$225,SMALL(IF((납품대장!$C$2:$C$225=$B$3)*(MONTH(납품대장!$B$2:$B$225)=MID($E$3,6,2)*1)*(YEAR(납품대장!$B$2:$B$225)=LEFT($E$3,4)*1)*(납품대장!$G$2:$G$225&gt;0),ROW(납품대장!$F$2:$F$225)-1),ROWS($D$9:D12))),"")</f>
        <v/>
      </c>
      <c r="E12" s="91">
        <f t="array" ref="E12">IFERROR(INDEX(납품대장!$E$2:$E$225,SMALL(IF((납품대장!$C$2:$C$225=$B$3)*(MONTH(납품대장!$B$2:$B$225)=MID($E$3,6,2)*1)*(YEAR(납품대장!$B$2:$B$225)=LEFT($E$3,4)*1)*(납품대장!$G$2:$G$225&gt;0),ROW(납품대장!$E$2:$E$225)-1),ROWS($E$9:E12))),"")</f>
        <v/>
      </c>
      <c r="F12" s="91">
        <f t="array" ref="F12">IFERROR(INDEX(납품대장!$G$2:$G$225,SMALL(IF((납품대장!$C$2:$C$225=$B$3)*(MONTH(납품대장!$B$2:$B$225)=MID($E$3,6,2)*1)*(YEAR(납품대장!$B$2:$B$225)=LEFT($E$3,4)*1)*(납품대장!$G$2:$G$225&gt;0),ROW(납품대장!$G$2:$G$225)-1),ROWS($F$9:F12))),"")</f>
        <v/>
      </c>
    </row>
    <row r="13" ht="15.75" customHeight="1" s="141">
      <c r="A13" s="11">
        <f>IF(ROWS($A$9:A13)&lt;=COUNTIFS(납품대장!$C:$C,$B$3,납품대장!$B:$B,"&gt;="&amp;DATE(LEFT($E$3,4),MID($E$3,6,2),1),납품대장!$B:$B,"&lt;"&amp;DATE(LEFT($E$3,4),MID($E$3,6,2)+1,1),납품대장!$G:$G,"&gt;0"),ROWS($A$9:A13),"")</f>
        <v/>
      </c>
      <c r="B13" s="149">
        <f t="array" ref="B13">IFERROR(INDEX(납품대장!$H$2:$H$225,SMALL(IF((납품대장!$C$2:$C$225=$B$3)*(MONTH(납품대장!$B$2:$B$225)=MID($E$3,6,2)*1)*(YEAR(납품대장!$B$2:$B$225)=LEFT($E$3,4)*1)*(납품대장!$G$2:$G$225&gt;0),ROW(납품대장!$H$2:$H$225)-1),ROWS($B$9:B13))),"")</f>
        <v/>
      </c>
      <c r="C13" s="12">
        <f t="array" ref="C13">IFERROR(INDEX(납품대장!$D$2:$D$225,SMALL(IF((납품대장!$C$2:$C$225=$B$3)*(MONTH(납품대장!$B$2:$B$225)=MID($E$3,6,2)*1)*(YEAR(납품대장!$B$2:$B$225)=LEFT($E$3,4)*1)*(납품대장!$G$2:$G$225&gt;0),ROW(납품대장!$D$2:$D$225)-1),ROWS($C$9:C13))),"")</f>
        <v/>
      </c>
      <c r="D13" s="91">
        <f t="array" ref="D13">IFERROR(INDEX(납품대장!$F$2:$F$225,SMALL(IF((납품대장!$C$2:$C$225=$B$3)*(MONTH(납품대장!$B$2:$B$225)=MID($E$3,6,2)*1)*(YEAR(납품대장!$B$2:$B$225)=LEFT($E$3,4)*1)*(납품대장!$G$2:$G$225&gt;0),ROW(납품대장!$F$2:$F$225)-1),ROWS($D$9:D13))),"")</f>
        <v/>
      </c>
      <c r="E13" s="91">
        <f t="array" ref="E13">IFERROR(INDEX(납품대장!$E$2:$E$225,SMALL(IF((납품대장!$C$2:$C$225=$B$3)*(MONTH(납품대장!$B$2:$B$225)=MID($E$3,6,2)*1)*(YEAR(납품대장!$B$2:$B$225)=LEFT($E$3,4)*1)*(납품대장!$G$2:$G$225&gt;0),ROW(납품대장!$E$2:$E$225)-1),ROWS($E$9:E13))),"")</f>
        <v/>
      </c>
      <c r="F13" s="91">
        <f t="array" ref="F13">IFERROR(INDEX(납품대장!$G$2:$G$225,SMALL(IF((납품대장!$C$2:$C$225=$B$3)*(MONTH(납품대장!$B$2:$B$225)=MID($E$3,6,2)*1)*(YEAR(납품대장!$B$2:$B$225)=LEFT($E$3,4)*1)*(납품대장!$G$2:$G$225&gt;0),ROW(납품대장!$G$2:$G$225)-1),ROWS($F$9:F13))),"")</f>
        <v/>
      </c>
    </row>
    <row r="14" ht="15.75" customHeight="1" s="141">
      <c r="A14" s="11">
        <f>IF(ROWS($A$9:A14)&lt;=COUNTIFS(납품대장!$C:$C,$B$3,납품대장!$B:$B,"&gt;="&amp;DATE(LEFT($E$3,4),MID($E$3,6,2),1),납품대장!$B:$B,"&lt;"&amp;DATE(LEFT($E$3,4),MID($E$3,6,2)+1,1),납품대장!$G:$G,"&gt;0"),ROWS($A$9:A14),"")</f>
        <v/>
      </c>
      <c r="B14" s="149">
        <f t="array" ref="B14">IFERROR(INDEX(납품대장!$H$2:$H$225,SMALL(IF((납품대장!$C$2:$C$225=$B$3)*(MONTH(납품대장!$B$2:$B$225)=MID($E$3,6,2)*1)*(YEAR(납품대장!$B$2:$B$225)=LEFT($E$3,4)*1)*(납품대장!$G$2:$G$225&gt;0),ROW(납품대장!$H$2:$H$225)-1),ROWS($B$9:B14))),"")</f>
        <v/>
      </c>
      <c r="C14" s="12">
        <f t="array" ref="C14">IFERROR(INDEX(납품대장!$D$2:$D$225,SMALL(IF((납품대장!$C$2:$C$225=$B$3)*(MONTH(납품대장!$B$2:$B$225)=MID($E$3,6,2)*1)*(YEAR(납품대장!$B$2:$B$225)=LEFT($E$3,4)*1)*(납품대장!$G$2:$G$225&gt;0),ROW(납품대장!$D$2:$D$225)-1),ROWS($C$9:C14))),"")</f>
        <v/>
      </c>
      <c r="D14" s="91">
        <f t="array" ref="D14">IFERROR(INDEX(납품대장!$F$2:$F$225,SMALL(IF((납품대장!$C$2:$C$225=$B$3)*(MONTH(납품대장!$B$2:$B$225)=MID($E$3,6,2)*1)*(YEAR(납품대장!$B$2:$B$225)=LEFT($E$3,4)*1)*(납품대장!$G$2:$G$225&gt;0),ROW(납품대장!$F$2:$F$225)-1),ROWS($D$9:D14))),"")</f>
        <v/>
      </c>
      <c r="E14" s="91">
        <f t="array" ref="E14">IFERROR(INDEX(납품대장!$E$2:$E$225,SMALL(IF((납품대장!$C$2:$C$225=$B$3)*(MONTH(납품대장!$B$2:$B$225)=MID($E$3,6,2)*1)*(YEAR(납품대장!$B$2:$B$225)=LEFT($E$3,4)*1)*(납품대장!$G$2:$G$225&gt;0),ROW(납품대장!$E$2:$E$225)-1),ROWS($E$9:E14))),"")</f>
        <v/>
      </c>
      <c r="F14" s="91">
        <f t="array" ref="F14">IFERROR(INDEX(납품대장!$G$2:$G$225,SMALL(IF((납품대장!$C$2:$C$225=$B$3)*(MONTH(납품대장!$B$2:$B$225)=MID($E$3,6,2)*1)*(YEAR(납품대장!$B$2:$B$225)=LEFT($E$3,4)*1)*(납품대장!$G$2:$G$225&gt;0),ROW(납품대장!$G$2:$G$225)-1),ROWS($F$9:F14))),"")</f>
        <v/>
      </c>
    </row>
    <row r="15" ht="15.75" customHeight="1" s="141">
      <c r="A15" s="11">
        <f>IF(ROWS($A$9:A15)&lt;=COUNTIFS(납품대장!$C:$C,$B$3,납품대장!$B:$B,"&gt;="&amp;DATE(LEFT($E$3,4),MID($E$3,6,2),1),납품대장!$B:$B,"&lt;"&amp;DATE(LEFT($E$3,4),MID($E$3,6,2)+1,1),납품대장!$G:$G,"&gt;0"),ROWS($A$9:A15),"")</f>
        <v/>
      </c>
      <c r="B15" s="149">
        <f t="array" ref="B15">IFERROR(INDEX(납품대장!$H$2:$H$225,SMALL(IF((납품대장!$C$2:$C$225=$B$3)*(MONTH(납품대장!$B$2:$B$225)=MID($E$3,6,2)*1)*(YEAR(납품대장!$B$2:$B$225)=LEFT($E$3,4)*1)*(납품대장!$G$2:$G$225&gt;0),ROW(납품대장!$H$2:$H$225)-1),ROWS($B$9:B15))),"")</f>
        <v/>
      </c>
      <c r="C15" s="12">
        <f t="array" ref="C15">IFERROR(INDEX(납품대장!$D$2:$D$225,SMALL(IF((납품대장!$C$2:$C$225=$B$3)*(MONTH(납품대장!$B$2:$B$225)=MID($E$3,6,2)*1)*(YEAR(납품대장!$B$2:$B$225)=LEFT($E$3,4)*1)*(납품대장!$G$2:$G$225&gt;0),ROW(납품대장!$D$2:$D$225)-1),ROWS($C$9:C15))),"")</f>
        <v/>
      </c>
      <c r="D15" s="13">
        <f t="array" ref="D15">IFERROR(INDEX(납품대장!$F$2:$F$225,SMALL(IF((납품대장!$C$2:$C$225=$B$3)*(MONTH(납품대장!$B$2:$B$225)=MID($E$3,6,2)*1)*(YEAR(납품대장!$B$2:$B$225)=LEFT($E$3,4)*1)*(납품대장!$G$2:$G$225&gt;0),ROW(납품대장!$F$2:$F$225)-1),ROWS($D$9:D15))),"")</f>
        <v/>
      </c>
      <c r="E15" s="13">
        <f t="array" ref="E15">IFERROR(INDEX(납품대장!$E$2:$E$225,SMALL(IF((납품대장!$C$2:$C$225=$B$3)*(MONTH(납품대장!$B$2:$B$225)=MID($E$3,6,2)*1)*(YEAR(납품대장!$B$2:$B$225)=LEFT($E$3,4)*1)*(납품대장!$G$2:$G$225&gt;0),ROW(납품대장!$E$2:$E$225)-1),ROWS($E$9:E15))),"")</f>
        <v/>
      </c>
      <c r="F15" s="13">
        <f t="array" ref="F15">IFERROR(INDEX(납품대장!$G$2:$G$225,SMALL(IF((납품대장!$C$2:$C$225=$B$3)*(MONTH(납품대장!$B$2:$B$225)=MID($E$3,6,2)*1)*(YEAR(납품대장!$B$2:$B$225)=LEFT($E$3,4)*1)*(납품대장!$G$2:$G$225&gt;0),ROW(납품대장!$G$2:$G$225)-1),ROWS($F$9:F15))),"")</f>
        <v/>
      </c>
    </row>
    <row r="16" ht="18" customHeight="1" s="141">
      <c r="A16" s="12">
        <f>IF(ROWS($A$9:A16)&lt;=COUNTIFS(납품대장!$C:$C,$B$3,납품대장!$B:$B,"&gt;="&amp;DATE(LEFT($E$3,4),MID($E$3,6,2),1),납품대장!$B:$B,"&lt;"&amp;DATE(LEFT($E$3,4),MID($E$3,6,2)+1,1),납품대장!$G:$G,"&gt;0"),ROWS($A$9:A16),"")</f>
        <v/>
      </c>
      <c r="B16" s="149">
        <f t="array" ref="B16">IFERROR(INDEX(납품대장!$H$2:$H$225,SMALL(IF((납품대장!$C$2:$C$225=$B$3)*(MONTH(납품대장!$B$2:$B$225)=MID($E$3,6,2)*1)*(YEAR(납품대장!$B$2:$B$225)=LEFT($E$3,4)*1)*(납품대장!$G$2:$G$225&gt;0),ROW(납품대장!$H$2:$H$225)-1),ROWS($B$9:B16))),"")</f>
        <v/>
      </c>
      <c r="C16" s="12">
        <f t="array" ref="C16">IFERROR(INDEX(납품대장!$D$2:$D$225,SMALL(IF((납품대장!$C$2:$C$225=$B$3)*(MONTH(납품대장!$B$2:$B$225)=MID($E$3,6,2)*1)*(YEAR(납품대장!$B$2:$B$225)=LEFT($E$3,4)*1)*(납품대장!$G$2:$G$225&gt;0),ROW(납품대장!$D$2:$D$225)-1),ROWS($C$9:C16))),"")</f>
        <v/>
      </c>
      <c r="D16" s="91">
        <f t="array" ref="D16">IFERROR(INDEX(납품대장!$F$2:$F$225,SMALL(IF((납품대장!$C$2:$C$225=$B$3)*(MONTH(납품대장!$B$2:$B$225)=MID($E$3,6,2)*1)*(YEAR(납품대장!$B$2:$B$225)=LEFT($E$3,4)*1)*(납품대장!$G$2:$G$225&gt;0),ROW(납품대장!$F$2:$F$225)-1),ROWS($D$9:D16))),"")</f>
        <v/>
      </c>
      <c r="E16" s="91">
        <f t="array" ref="E16">IFERROR(INDEX(납품대장!$E$2:$E$225,SMALL(IF((납품대장!$C$2:$C$225=$B$3)*(MONTH(납품대장!$B$2:$B$225)=MID($E$3,6,2)*1)*(YEAR(납품대장!$B$2:$B$225)=LEFT($E$3,4)*1)*(납품대장!$G$2:$G$225&gt;0),ROW(납품대장!$E$2:$E$225)-1),ROWS($E$9:E16))),"")</f>
        <v/>
      </c>
      <c r="F16" s="91">
        <f t="array" ref="F16">IFERROR(INDEX(납품대장!$G$2:$G$225,SMALL(IF((납품대장!$C$2:$C$225=$B$3)*(MONTH(납품대장!$B$2:$B$225)=MID($E$3,6,2)*1)*(YEAR(납품대장!$B$2:$B$225)=LEFT($E$3,4)*1)*(납품대장!$G$2:$G$225&gt;0),ROW(납품대장!$G$2:$G$225)-1),ROWS($F$9:F16))),"")</f>
        <v/>
      </c>
    </row>
    <row r="17" ht="18" customHeight="1" s="141">
      <c r="A17" s="11">
        <f>IF(ROWS($A$9:A17)&lt;=COUNTIFS(납품대장!$C:$C,$B$3,납품대장!$B:$B,"&gt;="&amp;DATE(LEFT($E$3,4),MID($E$3,6,2),1),납품대장!$B:$B,"&lt;"&amp;DATE(LEFT($E$3,4),MID($E$3,6,2)+1,1),납품대장!$G:$G,"&gt;0"),ROWS($A$9:A17),"")</f>
        <v/>
      </c>
      <c r="B17" s="149">
        <f t="array" ref="B17">IFERROR(INDEX(납품대장!$H$2:$H$225,SMALL(IF((납품대장!$C$2:$C$225=$B$3)*(MONTH(납품대장!$B$2:$B$225)=MID($E$3,6,2)*1)*(YEAR(납품대장!$B$2:$B$225)=LEFT($E$3,4)*1)*(납품대장!$G$2:$G$225&gt;0),ROW(납품대장!$H$2:$H$225)-1),ROWS($B$9:B17))),"")</f>
        <v/>
      </c>
      <c r="C17" s="12">
        <f t="array" ref="C17">IFERROR(INDEX(납품대장!$D$2:$D$225,SMALL(IF((납품대장!$C$2:$C$225=$B$3)*(MONTH(납품대장!$B$2:$B$225)=MID($E$3,6,2)*1)*(YEAR(납품대장!$B$2:$B$225)=LEFT($E$3,4)*1)*(납품대장!$G$2:$G$225&gt;0),ROW(납품대장!$D$2:$D$225)-1),ROWS($C$9:C17))),"")</f>
        <v/>
      </c>
      <c r="D17" s="13">
        <f t="array" ref="D17">IFERROR(INDEX(납품대장!$F$2:$F$225,SMALL(IF((납품대장!$C$2:$C$225=$B$3)*(MONTH(납품대장!$B$2:$B$225)=MID($E$3,6,2)*1)*(YEAR(납품대장!$B$2:$B$225)=LEFT($E$3,4)*1)*(납품대장!$G$2:$G$225&gt;0),ROW(납품대장!$F$2:$F$225)-1),ROWS($D$9:D17))),"")</f>
        <v/>
      </c>
      <c r="E17" s="13">
        <f t="array" ref="E17">IFERROR(INDEX(납품대장!$E$2:$E$225,SMALL(IF((납품대장!$C$2:$C$225=$B$3)*(MONTH(납품대장!$B$2:$B$225)=MID($E$3,6,2)*1)*(YEAR(납품대장!$B$2:$B$225)=LEFT($E$3,4)*1)*(납품대장!$G$2:$G$225&gt;0),ROW(납품대장!$E$2:$E$225)-1),ROWS($E$9:E17))),"")</f>
        <v/>
      </c>
      <c r="F17" s="13">
        <f t="array" ref="F17">IFERROR(INDEX(납품대장!$G$2:$G$225,SMALL(IF((납품대장!$C$2:$C$225=$B$3)*(MONTH(납품대장!$B$2:$B$225)=MID($E$3,6,2)*1)*(YEAR(납품대장!$B$2:$B$225)=LEFT($E$3,4)*1)*(납품대장!$G$2:$G$225&gt;0),ROW(납품대장!$G$2:$G$225)-1),ROWS($F$9:F17))),"")</f>
        <v/>
      </c>
    </row>
    <row r="18" ht="15" customHeight="1" s="141">
      <c r="A18" s="11">
        <f>IF(ROWS($A$9:A18)&lt;=COUNTIFS(납품대장!$C:$C,$B$3,납품대장!$B:$B,"&gt;="&amp;DATE(LEFT($E$3,4),MID($E$3,6,2),1),납품대장!$B:$B,"&lt;"&amp;DATE(LEFT($E$3,4),MID($E$3,6,2)+1,1),납품대장!$G:$G,"&gt;0"),ROWS($A$9:A18),"")</f>
        <v/>
      </c>
      <c r="B18" s="149">
        <f t="array" ref="B18">IFERROR(INDEX(납품대장!$H$2:$H$225,SMALL(IF((납품대장!$C$2:$C$225=$B$3)*(MONTH(납품대장!$B$2:$B$225)=MID($E$3,6,2)*1)*(YEAR(납품대장!$B$2:$B$225)=LEFT($E$3,4)*1)*(납품대장!$G$2:$G$225&gt;0),ROW(납품대장!$H$2:$H$225)-1),ROWS($B$9:B18))),"")</f>
        <v/>
      </c>
      <c r="C18" s="12">
        <f t="array" ref="C18">IFERROR(INDEX(납품대장!$D$2:$D$225,SMALL(IF((납품대장!$C$2:$C$225=$B$3)*(MONTH(납품대장!$B$2:$B$225)=MID($E$3,6,2)*1)*(YEAR(납품대장!$B$2:$B$225)=LEFT($E$3,4)*1)*(납품대장!$G$2:$G$225&gt;0),ROW(납품대장!$D$2:$D$225)-1),ROWS($C$9:C18))),"")</f>
        <v/>
      </c>
      <c r="D18" s="13">
        <f t="array" ref="D18">IFERROR(INDEX(납품대장!$F$2:$F$225,SMALL(IF((납품대장!$C$2:$C$225=$B$3)*(MONTH(납품대장!$B$2:$B$225)=MID($E$3,6,2)*1)*(YEAR(납품대장!$B$2:$B$225)=LEFT($E$3,4)*1)*(납품대장!$G$2:$G$225&gt;0),ROW(납품대장!$F$2:$F$225)-1),ROWS($D$9:D18))),"")</f>
        <v/>
      </c>
      <c r="E18" s="13">
        <f t="array" ref="E18">IFERROR(INDEX(납품대장!$E$2:$E$225,SMALL(IF((납품대장!$C$2:$C$225=$B$3)*(MONTH(납품대장!$B$2:$B$225)=MID($E$3,6,2)*1)*(YEAR(납품대장!$B$2:$B$225)=LEFT($E$3,4)*1)*(납품대장!$G$2:$G$225&gt;0),ROW(납품대장!$E$2:$E$225)-1),ROWS($E$9:E18))),"")</f>
        <v/>
      </c>
      <c r="F18" s="13">
        <f t="array" ref="F18">IFERROR(INDEX(납품대장!$G$2:$G$225,SMALL(IF((납품대장!$C$2:$C$225=$B$3)*(MONTH(납품대장!$B$2:$B$225)=MID($E$3,6,2)*1)*(YEAR(납품대장!$B$2:$B$225)=LEFT($E$3,4)*1)*(납품대장!$G$2:$G$225&gt;0),ROW(납품대장!$G$2:$G$225)-1),ROWS($F$9:F18))),"")</f>
        <v/>
      </c>
    </row>
    <row r="19" ht="15" customHeight="1" s="141">
      <c r="A19" s="11">
        <f>IF(ROWS($A$9:A19)&lt;=COUNTIFS(납품대장!$C:$C,$B$3,납품대장!$B:$B,"&gt;="&amp;DATE(LEFT($E$3,4),MID($E$3,6,2),1),납품대장!$B:$B,"&lt;"&amp;DATE(LEFT($E$3,4),MID($E$3,6,2)+1,1),납품대장!$G:$G,"&gt;0"),ROWS($A$9:A19),"")</f>
        <v/>
      </c>
      <c r="B19" s="149">
        <f t="array" ref="B19">IFERROR(INDEX(납품대장!$H$2:$H$225,SMALL(IF((납품대장!$C$2:$C$225=$B$3)*(MONTH(납품대장!$B$2:$B$225)=MID($E$3,6,2)*1)*(YEAR(납품대장!$B$2:$B$225)=LEFT($E$3,4)*1)*(납품대장!$G$2:$G$225&gt;0),ROW(납품대장!$H$2:$H$225)-1),ROWS($B$9:B19))),"")</f>
        <v/>
      </c>
      <c r="C19" s="12">
        <f t="array" ref="C19">IFERROR(INDEX(납품대장!$D$2:$D$225,SMALL(IF((납품대장!$C$2:$C$225=$B$3)*(MONTH(납품대장!$B$2:$B$225)=MID($E$3,6,2)*1)*(YEAR(납품대장!$B$2:$B$225)=LEFT($E$3,4)*1)*(납품대장!$G$2:$G$225&gt;0),ROW(납품대장!$D$2:$D$225)-1),ROWS($C$9:C19))),"")</f>
        <v/>
      </c>
      <c r="D19" s="13">
        <f t="array" ref="D19">IFERROR(INDEX(납품대장!$F$2:$F$225,SMALL(IF((납품대장!$C$2:$C$225=$B$3)*(MONTH(납품대장!$B$2:$B$225)=MID($E$3,6,2)*1)*(YEAR(납품대장!$B$2:$B$225)=LEFT($E$3,4)*1)*(납품대장!$G$2:$G$225&gt;0),ROW(납품대장!$F$2:$F$225)-1),ROWS($D$9:D19))),"")</f>
        <v/>
      </c>
      <c r="E19" s="13">
        <f t="array" ref="E19">IFERROR(INDEX(납품대장!$E$2:$E$225,SMALL(IF((납품대장!$C$2:$C$225=$B$3)*(MONTH(납품대장!$B$2:$B$225)=MID($E$3,6,2)*1)*(YEAR(납품대장!$B$2:$B$225)=LEFT($E$3,4)*1)*(납품대장!$G$2:$G$225&gt;0),ROW(납품대장!$E$2:$E$225)-1),ROWS($E$9:E19))),"")</f>
        <v/>
      </c>
      <c r="F19" s="13">
        <f t="array" ref="F19">IFERROR(INDEX(납품대장!$G$2:$G$225,SMALL(IF((납품대장!$C$2:$C$225=$B$3)*(MONTH(납품대장!$B$2:$B$225)=MID($E$3,6,2)*1)*(YEAR(납품대장!$B$2:$B$225)=LEFT($E$3,4)*1)*(납품대장!$G$2:$G$225&gt;0),ROW(납품대장!$G$2:$G$225)-1),ROWS($F$9:F19))),"")</f>
        <v/>
      </c>
    </row>
    <row r="20" ht="15" customHeight="1" s="141">
      <c r="A20" s="11">
        <f>IF(ROWS($A$9:A20)&lt;=COUNTIFS(납품대장!$C:$C,$B$3,납품대장!$B:$B,"&gt;="&amp;DATE(LEFT($E$3,4),MID($E$3,6,2),1),납품대장!$B:$B,"&lt;"&amp;DATE(LEFT($E$3,4),MID($E$3,6,2)+1,1),납품대장!$G:$G,"&gt;0"),ROWS($A$9:A20),"")</f>
        <v/>
      </c>
      <c r="B20" s="149">
        <f t="array" ref="B20">IFERROR(INDEX(납품대장!$H$2:$H$225,SMALL(IF((납품대장!$C$2:$C$225=$B$3)*(MONTH(납품대장!$B$2:$B$225)=MID($E$3,6,2)*1)*(YEAR(납품대장!$B$2:$B$225)=LEFT($E$3,4)*1)*(납품대장!$G$2:$G$225&gt;0),ROW(납품대장!$H$2:$H$225)-1),ROWS($B$9:B20))),"")</f>
        <v/>
      </c>
      <c r="C20" s="12">
        <f t="array" ref="C20">IFERROR(INDEX(납품대장!$D$2:$D$225,SMALL(IF((납품대장!$C$2:$C$225=$B$3)*(MONTH(납품대장!$B$2:$B$225)=MID($E$3,6,2)*1)*(YEAR(납품대장!$B$2:$B$225)=LEFT($E$3,4)*1)*(납품대장!$G$2:$G$225&gt;0),ROW(납품대장!$D$2:$D$225)-1),ROWS($C$9:C20))),"")</f>
        <v/>
      </c>
      <c r="D20" s="13">
        <f t="array" ref="D20">IFERROR(INDEX(납품대장!$F$2:$F$225,SMALL(IF((납품대장!$C$2:$C$225=$B$3)*(MONTH(납품대장!$B$2:$B$225)=MID($E$3,6,2)*1)*(YEAR(납품대장!$B$2:$B$225)=LEFT($E$3,4)*1)*(납품대장!$G$2:$G$225&gt;0),ROW(납품대장!$F$2:$F$225)-1),ROWS($D$9:D20))),"")</f>
        <v/>
      </c>
      <c r="E20" s="13">
        <f t="array" ref="E20">IFERROR(INDEX(납품대장!$E$2:$E$225,SMALL(IF((납품대장!$C$2:$C$225=$B$3)*(MONTH(납품대장!$B$2:$B$225)=MID($E$3,6,2)*1)*(YEAR(납품대장!$B$2:$B$225)=LEFT($E$3,4)*1)*(납품대장!$G$2:$G$225&gt;0),ROW(납품대장!$E$2:$E$225)-1),ROWS($E$9:E20))),"")</f>
        <v/>
      </c>
      <c r="F20" s="13">
        <f t="array" ref="F20">IFERROR(INDEX(납품대장!$G$2:$G$225,SMALL(IF((납품대장!$C$2:$C$225=$B$3)*(MONTH(납품대장!$B$2:$B$225)=MID($E$3,6,2)*1)*(YEAR(납품대장!$B$2:$B$225)=LEFT($E$3,4)*1)*(납품대장!$G$2:$G$225&gt;0),ROW(납품대장!$G$2:$G$225)-1),ROWS($F$9:F20))),"")</f>
        <v/>
      </c>
    </row>
    <row r="21" ht="15" customHeight="1" s="141">
      <c r="A21" s="11">
        <f>IF(ROWS($A$9:A21)&lt;=COUNTIFS(납품대장!$C:$C,$B$3,납품대장!$B:$B,"&gt;="&amp;DATE(LEFT($E$3,4),MID($E$3,6,2),1),납품대장!$B:$B,"&lt;"&amp;DATE(LEFT($E$3,4),MID($E$3,6,2)+1,1),납품대장!$G:$G,"&gt;0"),ROWS($A$9:A21),"")</f>
        <v/>
      </c>
      <c r="B21" s="149">
        <f t="array" ref="B21">IFERROR(INDEX(납품대장!$H$2:$H$225,SMALL(IF((납품대장!$C$2:$C$225=$B$3)*(MONTH(납품대장!$B$2:$B$225)=MID($E$3,6,2)*1)*(YEAR(납품대장!$B$2:$B$225)=LEFT($E$3,4)*1)*(납품대장!$G$2:$G$225&gt;0),ROW(납품대장!$H$2:$H$225)-1),ROWS($B$9:B21))),"")</f>
        <v/>
      </c>
      <c r="C21" s="12">
        <f t="array" ref="C21">IFERROR(INDEX(납품대장!$D$2:$D$225,SMALL(IF((납품대장!$C$2:$C$225=$B$3)*(MONTH(납품대장!$B$2:$B$225)=MID($E$3,6,2)*1)*(YEAR(납품대장!$B$2:$B$225)=LEFT($E$3,4)*1)*(납품대장!$G$2:$G$225&gt;0),ROW(납품대장!$D$2:$D$225)-1),ROWS($C$9:C21))),"")</f>
        <v/>
      </c>
      <c r="D21" s="13">
        <f t="array" ref="D21">IFERROR(INDEX(납품대장!$F$2:$F$225,SMALL(IF((납품대장!$C$2:$C$225=$B$3)*(MONTH(납품대장!$B$2:$B$225)=MID($E$3,6,2)*1)*(YEAR(납품대장!$B$2:$B$225)=LEFT($E$3,4)*1)*(납품대장!$G$2:$G$225&gt;0),ROW(납품대장!$F$2:$F$225)-1),ROWS($D$9:D21))),"")</f>
        <v/>
      </c>
      <c r="E21" s="13">
        <f t="array" ref="E21">IFERROR(INDEX(납품대장!$E$2:$E$225,SMALL(IF((납품대장!$C$2:$C$225=$B$3)*(MONTH(납품대장!$B$2:$B$225)=MID($E$3,6,2)*1)*(YEAR(납품대장!$B$2:$B$225)=LEFT($E$3,4)*1)*(납품대장!$G$2:$G$225&gt;0),ROW(납품대장!$E$2:$E$225)-1),ROWS($E$9:E21))),"")</f>
        <v/>
      </c>
      <c r="F21" s="13">
        <f t="array" ref="F21">IFERROR(INDEX(납품대장!$G$2:$G$225,SMALL(IF((납품대장!$C$2:$C$225=$B$3)*(MONTH(납품대장!$B$2:$B$225)=MID($E$3,6,2)*1)*(YEAR(납품대장!$B$2:$B$225)=LEFT($E$3,4)*1)*(납품대장!$G$2:$G$225&gt;0),ROW(납품대장!$G$2:$G$225)-1),ROWS($F$9:F21))),"")</f>
        <v/>
      </c>
    </row>
    <row r="22" ht="15" customHeight="1" s="141">
      <c r="A22" s="11">
        <f>IF(ROWS($A$9:A22)&lt;=COUNTIFS(납품대장!$C:$C,$B$3,납품대장!$B:$B,"&gt;="&amp;DATE(LEFT($E$3,4),MID($E$3,6,2),1),납품대장!$B:$B,"&lt;"&amp;DATE(LEFT($E$3,4),MID($E$3,6,2)+1,1),납품대장!$G:$G,"&gt;0"),ROWS($A$9:A22),"")</f>
        <v/>
      </c>
      <c r="B22" s="149">
        <f t="array" ref="B22">IFERROR(INDEX(납품대장!$H$2:$H$225,SMALL(IF((납품대장!$C$2:$C$225=$B$3)*(MONTH(납품대장!$B$2:$B$225)=MID($E$3,6,2)*1)*(YEAR(납품대장!$B$2:$B$225)=LEFT($E$3,4)*1)*(납품대장!$G$2:$G$225&gt;0),ROW(납품대장!$H$2:$H$225)-1),ROWS($B$9:B22))),"")</f>
        <v/>
      </c>
      <c r="C22" s="12">
        <f t="array" ref="C22">IFERROR(INDEX(납품대장!$D$2:$D$225,SMALL(IF((납품대장!$C$2:$C$225=$B$3)*(MONTH(납품대장!$B$2:$B$225)=MID($E$3,6,2)*1)*(YEAR(납품대장!$B$2:$B$225)=LEFT($E$3,4)*1)*(납품대장!$G$2:$G$225&gt;0),ROW(납품대장!$D$2:$D$225)-1),ROWS($C$9:C22))),"")</f>
        <v/>
      </c>
      <c r="D22" s="13">
        <f t="array" ref="D22">IFERROR(INDEX(납품대장!$F$2:$F$225,SMALL(IF((납품대장!$C$2:$C$225=$B$3)*(MONTH(납품대장!$B$2:$B$225)=MID($E$3,6,2)*1)*(YEAR(납품대장!$B$2:$B$225)=LEFT($E$3,4)*1)*(납품대장!$G$2:$G$225&gt;0),ROW(납품대장!$F$2:$F$225)-1),ROWS($D$9:D22))),"")</f>
        <v/>
      </c>
      <c r="E22" s="13">
        <f t="array" ref="E22">IFERROR(INDEX(납품대장!$E$2:$E$225,SMALL(IF((납품대장!$C$2:$C$225=$B$3)*(MONTH(납품대장!$B$2:$B$225)=MID($E$3,6,2)*1)*(YEAR(납품대장!$B$2:$B$225)=LEFT($E$3,4)*1)*(납품대장!$G$2:$G$225&gt;0),ROW(납품대장!$E$2:$E$225)-1),ROWS($E$9:E22))),"")</f>
        <v/>
      </c>
      <c r="F22" s="13">
        <f t="array" ref="F22">IFERROR(INDEX(납품대장!$G$2:$G$225,SMALL(IF((납품대장!$C$2:$C$225=$B$3)*(MONTH(납품대장!$B$2:$B$225)=MID($E$3,6,2)*1)*(YEAR(납품대장!$B$2:$B$225)=LEFT($E$3,4)*1)*(납품대장!$G$2:$G$225&gt;0),ROW(납품대장!$G$2:$G$225)-1),ROWS($F$9:F22))),"")</f>
        <v/>
      </c>
    </row>
    <row r="23" ht="15" customHeight="1" s="141">
      <c r="A23" s="11">
        <f>IF(ROWS($A$9:A23)&lt;=COUNTIFS(납품대장!$C:$C,$B$3,납품대장!$B:$B,"&gt;="&amp;DATE(LEFT($E$3,4),MID($E$3,6,2),1),납품대장!$B:$B,"&lt;"&amp;DATE(LEFT($E$3,4),MID($E$3,6,2)+1,1),납품대장!$G:$G,"&gt;0"),ROWS($A$9:A23),"")</f>
        <v/>
      </c>
      <c r="B23" s="149">
        <f t="array" ref="B23">IFERROR(INDEX(납품대장!$H$2:$H$225,SMALL(IF((납품대장!$C$2:$C$225=$B$3)*(MONTH(납품대장!$B$2:$B$225)=MID($E$3,6,2)*1)*(YEAR(납품대장!$B$2:$B$225)=LEFT($E$3,4)*1)*(납품대장!$G$2:$G$225&gt;0),ROW(납품대장!$H$2:$H$225)-1),ROWS($B$9:B23))),"")</f>
        <v/>
      </c>
      <c r="C23" s="12">
        <f t="array" ref="C23">IFERROR(INDEX(납품대장!$D$2:$D$225,SMALL(IF((납품대장!$C$2:$C$225=$B$3)*(MONTH(납품대장!$B$2:$B$225)=MID($E$3,6,2)*1)*(YEAR(납품대장!$B$2:$B$225)=LEFT($E$3,4)*1)*(납품대장!$G$2:$G$225&gt;0),ROW(납품대장!$D$2:$D$225)-1),ROWS($C$9:C23))),"")</f>
        <v/>
      </c>
      <c r="D23" s="13">
        <f t="array" ref="D23">IFERROR(INDEX(납품대장!$F$2:$F$225,SMALL(IF((납품대장!$C$2:$C$225=$B$3)*(MONTH(납품대장!$B$2:$B$225)=MID($E$3,6,2)*1)*(YEAR(납품대장!$B$2:$B$225)=LEFT($E$3,4)*1)*(납품대장!$G$2:$G$225&gt;0),ROW(납품대장!$F$2:$F$225)-1),ROWS($D$9:D23))),"")</f>
        <v/>
      </c>
      <c r="E23" s="13">
        <f t="array" ref="E23">IFERROR(INDEX(납품대장!$E$2:$E$225,SMALL(IF((납품대장!$C$2:$C$225=$B$3)*(MONTH(납품대장!$B$2:$B$225)=MID($E$3,6,2)*1)*(YEAR(납품대장!$B$2:$B$225)=LEFT($E$3,4)*1)*(납품대장!$G$2:$G$225&gt;0),ROW(납품대장!$E$2:$E$225)-1),ROWS($E$9:E23))),"")</f>
        <v/>
      </c>
      <c r="F23" s="13">
        <f t="array" ref="F23">IFERROR(INDEX(납품대장!$G$2:$G$225,SMALL(IF((납품대장!$C$2:$C$225=$B$3)*(MONTH(납품대장!$B$2:$B$225)=MID($E$3,6,2)*1)*(YEAR(납품대장!$B$2:$B$225)=LEFT($E$3,4)*1)*(납품대장!$G$2:$G$225&gt;0),ROW(납품대장!$G$2:$G$225)-1),ROWS($F$9:F23))),"")</f>
        <v/>
      </c>
    </row>
    <row r="24" ht="15" customHeight="1" s="141">
      <c r="A24" s="11">
        <f>IF(ROWS($A$9:A24)&lt;=COUNTIFS(납품대장!$C:$C,$B$3,납품대장!$B:$B,"&gt;="&amp;DATE(LEFT($E$3,4),MID($E$3,6,2),1),납품대장!$B:$B,"&lt;"&amp;DATE(LEFT($E$3,4),MID($E$3,6,2)+1,1),납품대장!$G:$G,"&gt;0"),ROWS($A$9:A24),"")</f>
        <v/>
      </c>
      <c r="B24" s="149">
        <f t="array" ref="B24">IFERROR(INDEX(납품대장!$H$2:$H$225,SMALL(IF((납품대장!$C$2:$C$225=$B$3)*(MONTH(납품대장!$B$2:$B$225)=MID($E$3,6,2)*1)*(YEAR(납품대장!$B$2:$B$225)=LEFT($E$3,4)*1)*(납품대장!$G$2:$G$225&gt;0),ROW(납품대장!$H$2:$H$225)-1),ROWS($B$9:B24))),"")</f>
        <v/>
      </c>
      <c r="C24" s="12">
        <f t="array" ref="C24">IFERROR(INDEX(납품대장!$D$2:$D$225,SMALL(IF((납품대장!$C$2:$C$225=$B$3)*(MONTH(납품대장!$B$2:$B$225)=MID($E$3,6,2)*1)*(YEAR(납품대장!$B$2:$B$225)=LEFT($E$3,4)*1)*(납품대장!$G$2:$G$225&gt;0),ROW(납품대장!$D$2:$D$225)-1),ROWS($C$9:C24))),"")</f>
        <v/>
      </c>
      <c r="D24" s="13">
        <f t="array" ref="D24">IFERROR(INDEX(납품대장!$F$2:$F$225,SMALL(IF((납품대장!$C$2:$C$225=$B$3)*(MONTH(납품대장!$B$2:$B$225)=MID($E$3,6,2)*1)*(YEAR(납품대장!$B$2:$B$225)=LEFT($E$3,4)*1)*(납품대장!$G$2:$G$225&gt;0),ROW(납품대장!$F$2:$F$225)-1),ROWS($D$9:D24))),"")</f>
        <v/>
      </c>
      <c r="E24" s="13">
        <f t="array" ref="E24">IFERROR(INDEX(납품대장!$E$2:$E$225,SMALL(IF((납품대장!$C$2:$C$225=$B$3)*(MONTH(납품대장!$B$2:$B$225)=MID($E$3,6,2)*1)*(YEAR(납품대장!$B$2:$B$225)=LEFT($E$3,4)*1)*(납품대장!$G$2:$G$225&gt;0),ROW(납품대장!$E$2:$E$225)-1),ROWS($E$9:E24))),"")</f>
        <v/>
      </c>
      <c r="F24" s="13">
        <f t="array" ref="F24">IFERROR(INDEX(납품대장!$G$2:$G$225,SMALL(IF((납품대장!$C$2:$C$225=$B$3)*(MONTH(납품대장!$B$2:$B$225)=MID($E$3,6,2)*1)*(YEAR(납품대장!$B$2:$B$225)=LEFT($E$3,4)*1)*(납품대장!$G$2:$G$225&gt;0),ROW(납품대장!$G$2:$G$225)-1),ROWS($F$9:F24))),"")</f>
        <v/>
      </c>
    </row>
    <row r="25" ht="15" customHeight="1" s="141">
      <c r="A25" s="11">
        <f>IF(ROWS($A$9:A25)&lt;=COUNTIFS(납품대장!$C:$C,$B$3,납품대장!$B:$B,"&gt;="&amp;DATE(LEFT($E$3,4),MID($E$3,6,2),1),납품대장!$B:$B,"&lt;"&amp;DATE(LEFT($E$3,4),MID($E$3,6,2)+1,1),납품대장!$G:$G,"&gt;0"),ROWS($A$9:A25),"")</f>
        <v/>
      </c>
      <c r="B25" s="149">
        <f t="array" ref="B25">IFERROR(INDEX(납품대장!$H$2:$H$225,SMALL(IF((납품대장!$C$2:$C$225=$B$3)*(MONTH(납품대장!$B$2:$B$225)=MID($E$3,6,2)*1)*(YEAR(납품대장!$B$2:$B$225)=LEFT($E$3,4)*1)*(납품대장!$G$2:$G$225&gt;0),ROW(납품대장!$H$2:$H$225)-1),ROWS($B$9:B25))),"")</f>
        <v/>
      </c>
      <c r="C25" s="12">
        <f t="array" ref="C25">IFERROR(INDEX(납품대장!$D$2:$D$225,SMALL(IF((납품대장!$C$2:$C$225=$B$3)*(MONTH(납품대장!$B$2:$B$225)=MID($E$3,6,2)*1)*(YEAR(납품대장!$B$2:$B$225)=LEFT($E$3,4)*1)*(납품대장!$G$2:$G$225&gt;0),ROW(납품대장!$D$2:$D$225)-1),ROWS($C$9:C25))),"")</f>
        <v/>
      </c>
      <c r="D25" s="13">
        <f t="array" ref="D25">IFERROR(INDEX(납품대장!$F$2:$F$225,SMALL(IF((납품대장!$C$2:$C$225=$B$3)*(MONTH(납품대장!$B$2:$B$225)=MID($E$3,6,2)*1)*(YEAR(납품대장!$B$2:$B$225)=LEFT($E$3,4)*1)*(납품대장!$G$2:$G$225&gt;0),ROW(납품대장!$F$2:$F$225)-1),ROWS($D$9:D25))),"")</f>
        <v/>
      </c>
      <c r="E25" s="13">
        <f t="array" ref="E25">IFERROR(INDEX(납품대장!$E$2:$E$225,SMALL(IF((납품대장!$C$2:$C$225=$B$3)*(MONTH(납품대장!$B$2:$B$225)=MID($E$3,6,2)*1)*(YEAR(납품대장!$B$2:$B$225)=LEFT($E$3,4)*1)*(납품대장!$G$2:$G$225&gt;0),ROW(납품대장!$E$2:$E$225)-1),ROWS($E$9:E25))),"")</f>
        <v/>
      </c>
      <c r="F25" s="13">
        <f t="array" ref="F25">IFERROR(INDEX(납품대장!$G$2:$G$225,SMALL(IF((납품대장!$C$2:$C$225=$B$3)*(MONTH(납품대장!$B$2:$B$225)=MID($E$3,6,2)*1)*(YEAR(납품대장!$B$2:$B$225)=LEFT($E$3,4)*1)*(납품대장!$G$2:$G$225&gt;0),ROW(납품대장!$G$2:$G$225)-1),ROWS($F$9:F25))),"")</f>
        <v/>
      </c>
    </row>
    <row r="26" ht="15" customHeight="1" s="141">
      <c r="A26" s="11">
        <f>IF(ROWS($A$9:A26)&lt;=COUNTIFS(납품대장!$C:$C,$B$3,납품대장!$B:$B,"&gt;="&amp;DATE(LEFT($E$3,4),MID($E$3,6,2),1),납품대장!$B:$B,"&lt;"&amp;DATE(LEFT($E$3,4),MID($E$3,6,2)+1,1),납품대장!$G:$G,"&gt;0"),ROWS($A$9:A26),"")</f>
        <v/>
      </c>
      <c r="B26" s="149">
        <f t="array" ref="B26">IFERROR(INDEX(납품대장!$H$2:$H$225,SMALL(IF((납품대장!$C$2:$C$225=$B$3)*(MONTH(납품대장!$B$2:$B$225)=MID($E$3,6,2)*1)*(YEAR(납품대장!$B$2:$B$225)=LEFT($E$3,4)*1)*(납품대장!$G$2:$G$225&gt;0),ROW(납품대장!$H$2:$H$225)-1),ROWS($B$9:B26))),"")</f>
        <v/>
      </c>
      <c r="C26" s="12">
        <f t="array" ref="C26">IFERROR(INDEX(납품대장!$D$2:$D$225,SMALL(IF((납품대장!$C$2:$C$225=$B$3)*(MONTH(납품대장!$B$2:$B$225)=MID($E$3,6,2)*1)*(YEAR(납품대장!$B$2:$B$225)=LEFT($E$3,4)*1)*(납품대장!$G$2:$G$225&gt;0),ROW(납품대장!$D$2:$D$225)-1),ROWS($C$9:C26))),"")</f>
        <v/>
      </c>
      <c r="D26" s="13">
        <f t="array" ref="D26">IFERROR(INDEX(납품대장!$F$2:$F$225,SMALL(IF((납품대장!$C$2:$C$225=$B$3)*(MONTH(납품대장!$B$2:$B$225)=MID($E$3,6,2)*1)*(YEAR(납품대장!$B$2:$B$225)=LEFT($E$3,4)*1)*(납품대장!$G$2:$G$225&gt;0),ROW(납품대장!$F$2:$F$225)-1),ROWS($D$9:D26))),"")</f>
        <v/>
      </c>
      <c r="E26" s="13">
        <f t="array" ref="E26">IFERROR(INDEX(납품대장!$E$2:$E$225,SMALL(IF((납품대장!$C$2:$C$225=$B$3)*(MONTH(납품대장!$B$2:$B$225)=MID($E$3,6,2)*1)*(YEAR(납품대장!$B$2:$B$225)=LEFT($E$3,4)*1)*(납품대장!$G$2:$G$225&gt;0),ROW(납품대장!$E$2:$E$225)-1),ROWS($E$9:E26))),"")</f>
        <v/>
      </c>
      <c r="F26" s="13">
        <f t="array" ref="F26">IFERROR(INDEX(납품대장!$G$2:$G$225,SMALL(IF((납품대장!$C$2:$C$225=$B$3)*(MONTH(납품대장!$B$2:$B$225)=MID($E$3,6,2)*1)*(YEAR(납품대장!$B$2:$B$225)=LEFT($E$3,4)*1)*(납품대장!$G$2:$G$225&gt;0),ROW(납품대장!$G$2:$G$225)-1),ROWS($F$9:F26))),"")</f>
        <v/>
      </c>
    </row>
    <row r="27" ht="15" customHeight="1" s="141">
      <c r="A27" s="11">
        <f>IF(ROWS($A$9:A27)&lt;=COUNTIFS(납품대장!$C:$C,$B$3,납품대장!$B:$B,"&gt;="&amp;DATE(LEFT($E$3,4),MID($E$3,6,2),1),납품대장!$B:$B,"&lt;"&amp;DATE(LEFT($E$3,4),MID($E$3,6,2)+1,1),납품대장!$G:$G,"&gt;0"),ROWS($A$9:A27),"")</f>
        <v/>
      </c>
      <c r="B27" s="149">
        <f t="array" ref="B27">IFERROR(INDEX(납품대장!$H$2:$H$225,SMALL(IF((납품대장!$C$2:$C$225=$B$3)*(MONTH(납품대장!$B$2:$B$225)=MID($E$3,6,2)*1)*(YEAR(납품대장!$B$2:$B$225)=LEFT($E$3,4)*1)*(납품대장!$G$2:$G$225&gt;0),ROW(납품대장!$H$2:$H$225)-1),ROWS($B$9:B27))),"")</f>
        <v/>
      </c>
      <c r="C27" s="12">
        <f t="array" ref="C27">IFERROR(INDEX(납품대장!$D$2:$D$225,SMALL(IF((납품대장!$C$2:$C$225=$B$3)*(MONTH(납품대장!$B$2:$B$225)=MID($E$3,6,2)*1)*(YEAR(납품대장!$B$2:$B$225)=LEFT($E$3,4)*1)*(납품대장!$G$2:$G$225&gt;0),ROW(납품대장!$D$2:$D$225)-1),ROWS($C$9:C27))),"")</f>
        <v/>
      </c>
      <c r="D27" s="13">
        <f t="array" ref="D27">IFERROR(INDEX(납품대장!$F$2:$F$225,SMALL(IF((납품대장!$C$2:$C$225=$B$3)*(MONTH(납품대장!$B$2:$B$225)=MID($E$3,6,2)*1)*(YEAR(납품대장!$B$2:$B$225)=LEFT($E$3,4)*1)*(납품대장!$G$2:$G$225&gt;0),ROW(납품대장!$F$2:$F$225)-1),ROWS($D$9:D27))),"")</f>
        <v/>
      </c>
      <c r="E27" s="13">
        <f t="array" ref="E27">IFERROR(INDEX(납품대장!$E$2:$E$225,SMALL(IF((납품대장!$C$2:$C$225=$B$3)*(MONTH(납품대장!$B$2:$B$225)=MID($E$3,6,2)*1)*(YEAR(납품대장!$B$2:$B$225)=LEFT($E$3,4)*1)*(납품대장!$G$2:$G$225&gt;0),ROW(납품대장!$E$2:$E$225)-1),ROWS($E$9:E27))),"")</f>
        <v/>
      </c>
      <c r="F27" s="13">
        <f t="array" ref="F27">IFERROR(INDEX(납품대장!$G$2:$G$225,SMALL(IF((납품대장!$C$2:$C$225=$B$3)*(MONTH(납품대장!$B$2:$B$225)=MID($E$3,6,2)*1)*(YEAR(납품대장!$B$2:$B$225)=LEFT($E$3,4)*1)*(납품대장!$G$2:$G$225&gt;0),ROW(납품대장!$G$2:$G$225)-1),ROWS($F$9:F27))),"")</f>
        <v/>
      </c>
    </row>
    <row r="28" ht="18" customHeight="1" s="141">
      <c r="A28" s="11">
        <f>IF(ROWS($A$9:A28)&lt;=COUNTIFS(납품대장!$C:$C,$B$3,납품대장!$B:$B,"&gt;="&amp;DATE(LEFT($E$3,4),MID($E$3,6,2),1),납품대장!$B:$B,"&lt;"&amp;DATE(LEFT($E$3,4),MID($E$3,6,2)+1,1),납품대장!$G:$G,"&gt;0"),ROWS($A$9:A28),"")</f>
        <v/>
      </c>
      <c r="B28" s="149">
        <f t="array" ref="B28">IFERROR(INDEX(납품대장!$H$2:$H$225,SMALL(IF((납품대장!$C$2:$C$225=$B$3)*(MONTH(납품대장!$B$2:$B$225)=MID($E$3,6,2)*1)*(YEAR(납품대장!$B$2:$B$225)=LEFT($E$3,4)*1)*(납품대장!$G$2:$G$225&gt;0),ROW(납품대장!$H$2:$H$225)-1),ROWS($B$9:B28))),"")</f>
        <v/>
      </c>
      <c r="C28" s="12">
        <f t="array" ref="C28">IFERROR(INDEX(납품대장!$D$2:$D$225,SMALL(IF((납품대장!$C$2:$C$225=$B$3)*(MONTH(납품대장!$B$2:$B$225)=MID($E$3,6,2)*1)*(YEAR(납품대장!$B$2:$B$225)=LEFT($E$3,4)*1)*(납품대장!$G$2:$G$225&gt;0),ROW(납품대장!$D$2:$D$225)-1),ROWS($C$9:C28))),"")</f>
        <v/>
      </c>
      <c r="D28" s="13">
        <f t="array" ref="D28">IFERROR(INDEX(납품대장!$F$2:$F$225,SMALL(IF((납품대장!$C$2:$C$225=$B$3)*(MONTH(납품대장!$B$2:$B$225)=MID($E$3,6,2)*1)*(YEAR(납품대장!$B$2:$B$225)=LEFT($E$3,4)*1)*(납품대장!$G$2:$G$225&gt;0),ROW(납품대장!$F$2:$F$225)-1),ROWS($D$9:D28))),"")</f>
        <v/>
      </c>
      <c r="E28" s="13">
        <f t="array" ref="E28">IFERROR(INDEX(납품대장!$E$2:$E$225,SMALL(IF((납품대장!$C$2:$C$225=$B$3)*(MONTH(납품대장!$B$2:$B$225)=MID($E$3,6,2)*1)*(YEAR(납품대장!$B$2:$B$225)=LEFT($E$3,4)*1)*(납품대장!$G$2:$G$225&gt;0),ROW(납품대장!$E$2:$E$225)-1),ROWS($E$9:E28))),"")</f>
        <v/>
      </c>
      <c r="F28" s="13">
        <f t="array" ref="F28">IFERROR(INDEX(납품대장!$G$2:$G$225,SMALL(IF((납품대장!$C$2:$C$225=$B$3)*(MONTH(납품대장!$B$2:$B$225)=MID($E$3,6,2)*1)*(YEAR(납품대장!$B$2:$B$225)=LEFT($E$3,4)*1)*(납품대장!$G$2:$G$225&gt;0),ROW(납품대장!$G$2:$G$225)-1),ROWS($F$9:F28))),"")</f>
        <v/>
      </c>
    </row>
    <row r="29" ht="15" customHeight="1" s="141">
      <c r="A29" s="14" t="n"/>
      <c r="B29" s="150" t="n"/>
      <c r="C29" s="14" t="n"/>
      <c r="D29" s="14" t="n"/>
      <c r="E29" s="14" t="n"/>
      <c r="F29" s="14" t="n"/>
    </row>
    <row r="30" ht="18" customHeight="1" s="141">
      <c r="A30" s="15" t="inlineStr">
        <is>
          <t>합계</t>
        </is>
      </c>
      <c r="B30" s="133" t="n"/>
      <c r="C30" s="133" t="n"/>
      <c r="D30" s="133" t="n"/>
      <c r="E30" s="151" t="n"/>
      <c r="F30" s="151" t="n"/>
    </row>
    <row r="31" ht="16.5" customHeight="1" s="141">
      <c r="A31" s="14" t="n"/>
      <c r="B31" s="14" t="n"/>
      <c r="C31" s="14" t="n"/>
      <c r="D31" s="14" t="n"/>
      <c r="E31" s="14" t="n"/>
      <c r="F31" s="14" t="n"/>
    </row>
    <row r="32" ht="15" customHeight="1" s="141">
      <c r="A32" s="14" t="n"/>
      <c r="B32" s="14" t="n"/>
      <c r="C32" s="14" t="n"/>
      <c r="D32" s="135" t="inlineStr">
        <is>
          <t>담당</t>
        </is>
      </c>
      <c r="E32" s="135" t="inlineStr">
        <is>
          <t>검토</t>
        </is>
      </c>
      <c r="F32" s="135" t="inlineStr">
        <is>
          <t>승인</t>
        </is>
      </c>
    </row>
    <row r="33" ht="18.75" customHeight="1" s="141">
      <c r="A33" s="14" t="n"/>
      <c r="B33" s="14" t="n"/>
      <c r="C33" s="14" t="n"/>
      <c r="D33" s="152" t="n"/>
      <c r="E33" s="152" t="n"/>
      <c r="F33" s="152" t="n"/>
    </row>
    <row r="34" ht="18.75" customHeight="1" s="141">
      <c r="A34" s="14" t="n"/>
      <c r="B34" s="14" t="n"/>
      <c r="C34" s="14" t="n"/>
      <c r="D34" s="136" t="n"/>
      <c r="E34" s="136" t="n"/>
      <c r="F34" s="136" t="n"/>
    </row>
    <row r="35" ht="18.75" customHeight="1" s="141">
      <c r="A35" s="14" t="n"/>
      <c r="B35" s="14" t="n"/>
      <c r="C35" s="14" t="n"/>
      <c r="D35" s="136" t="n"/>
      <c r="E35" s="136" t="n"/>
      <c r="F35" s="136" t="n"/>
    </row>
    <row r="36" ht="18.75" customHeight="1" s="141">
      <c r="D36" s="130" t="n"/>
      <c r="E36" s="153" t="n"/>
      <c r="F36" s="154" t="n"/>
    </row>
  </sheetData>
  <mergeCells count="9">
    <mergeCell ref="F32:F33"/>
    <mergeCell ref="D32:D33"/>
    <mergeCell ref="E6:F6"/>
    <mergeCell ref="E32:E33"/>
    <mergeCell ref="A1:F1"/>
    <mergeCell ref="A5:F5"/>
    <mergeCell ref="D36:F36"/>
    <mergeCell ref="A4:F4"/>
    <mergeCell ref="D30:F30"/>
  </mergeCells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pane ySplit="1" topLeftCell="A197" activePane="bottomLeft" state="frozen"/>
      <selection pane="bottomLeft" activeCell="D226" sqref="D226"/>
    </sheetView>
  </sheetViews>
  <sheetFormatPr baseColWidth="8" defaultColWidth="9.125" defaultRowHeight="16.5" customHeight="1"/>
  <cols>
    <col width="7.25" customWidth="1" style="21" min="1" max="1"/>
    <col width="14.375" customWidth="1" style="155" min="2" max="2"/>
    <col width="18.625" customWidth="1" style="21" min="3" max="4"/>
    <col width="18.625" customWidth="1" style="156" min="5" max="5"/>
    <col width="13.875" customWidth="1" style="157" min="6" max="6"/>
    <col width="9" customWidth="1" style="158" min="7" max="7"/>
    <col width="13.625" customWidth="1" style="155" min="8" max="8"/>
    <col width="14.625" customWidth="1" style="26" min="9" max="9"/>
    <col width="9" customWidth="1" style="21" min="10" max="10"/>
    <col width="10.625" customWidth="1" style="21" min="11" max="11"/>
    <col width="9" customWidth="1" style="21" min="12" max="13"/>
    <col width="12.25" customWidth="1" style="21" min="14" max="14"/>
    <col width="27.25" customWidth="1" style="21" min="15" max="15"/>
    <col width="9" customWidth="1" style="141" min="16" max="16"/>
  </cols>
  <sheetData>
    <row r="1" ht="16.5" customHeight="1" s="141">
      <c r="A1" s="27" t="inlineStr">
        <is>
          <t>연번</t>
        </is>
      </c>
      <c r="B1" s="159" t="inlineStr">
        <is>
          <t>주문일자</t>
        </is>
      </c>
      <c r="C1" s="27" t="inlineStr">
        <is>
          <t>매장명</t>
        </is>
      </c>
      <c r="D1" s="27" t="inlineStr">
        <is>
          <t>작물명</t>
        </is>
      </c>
      <c r="E1" s="160" t="inlineStr">
        <is>
          <t>단가</t>
        </is>
      </c>
      <c r="F1" s="161" t="inlineStr">
        <is>
          <t>주문수량(g)</t>
        </is>
      </c>
      <c r="G1" s="161" t="inlineStr">
        <is>
          <t>금액</t>
        </is>
      </c>
      <c r="H1" s="159" t="inlineStr">
        <is>
          <t>납품일자</t>
        </is>
      </c>
      <c r="I1" s="38" t="inlineStr">
        <is>
          <t>비고</t>
        </is>
      </c>
      <c r="K1" s="20" t="inlineStr">
        <is>
          <t>작물명</t>
        </is>
      </c>
      <c r="L1" s="20" t="inlineStr">
        <is>
          <t>단가(1g)</t>
        </is>
      </c>
    </row>
    <row r="2" ht="16.5" customHeight="1" s="141">
      <c r="A2" s="28">
        <f>IF(B2&lt;&gt;"",ROW()-1,"")</f>
        <v/>
      </c>
      <c r="B2" s="162" t="n">
        <v>45902</v>
      </c>
      <c r="C2" s="28" t="inlineStr">
        <is>
          <t>419국수김밥</t>
        </is>
      </c>
      <c r="D2" s="28" t="inlineStr">
        <is>
          <t>루꼴라</t>
        </is>
      </c>
      <c r="E2" s="163">
        <f>VLOOKUP(표1[[#This Row],[작물명]],$K$2:$L$5,2,FALSE)</f>
        <v/>
      </c>
      <c r="F2" s="164" t="n">
        <v>500</v>
      </c>
      <c r="G2" s="164">
        <f>F2*$L$2</f>
        <v/>
      </c>
      <c r="H2" s="162" t="n">
        <v>45904</v>
      </c>
      <c r="I2" s="39" t="n"/>
      <c r="K2" s="25" t="inlineStr">
        <is>
          <t>루꼴라</t>
        </is>
      </c>
      <c r="L2" s="25" t="n">
        <v>17.7</v>
      </c>
    </row>
    <row r="3" ht="16.5" customHeight="1" s="141">
      <c r="A3" s="28">
        <f>IF(B3&lt;&gt;"",ROW()-1,"")</f>
        <v/>
      </c>
      <c r="B3" s="162" t="n">
        <v>45904</v>
      </c>
      <c r="C3" s="28" t="inlineStr">
        <is>
          <t>까미노</t>
        </is>
      </c>
      <c r="D3" s="28" t="inlineStr">
        <is>
          <t>루꼴라</t>
        </is>
      </c>
      <c r="E3" s="163">
        <f>VLOOKUP(표1[[#This Row],[작물명]],$K$2:$L$5,2,FALSE)</f>
        <v/>
      </c>
      <c r="F3" s="164" t="n">
        <v>1000</v>
      </c>
      <c r="G3" s="164">
        <f>F3*$L$2</f>
        <v/>
      </c>
      <c r="H3" s="162" t="n">
        <v>45904</v>
      </c>
      <c r="I3" s="39" t="n"/>
      <c r="K3" s="25" t="inlineStr">
        <is>
          <t>엽채류</t>
        </is>
      </c>
      <c r="L3" s="25" t="n">
        <v>11.5</v>
      </c>
    </row>
    <row r="4" ht="17.25" customHeight="1" s="141" thickBot="1">
      <c r="A4" s="29">
        <f>IF(B4&lt;&gt;"",ROW()-1,"")</f>
        <v/>
      </c>
      <c r="B4" s="165" t="n">
        <v>45904</v>
      </c>
      <c r="C4" s="29" t="inlineStr">
        <is>
          <t>미즐 카페엠</t>
        </is>
      </c>
      <c r="D4" s="29" t="inlineStr">
        <is>
          <t>루꼴라</t>
        </is>
      </c>
      <c r="E4" s="163">
        <f>VLOOKUP(표1[[#This Row],[작물명]],$K$2:$L$5,2,FALSE)</f>
        <v/>
      </c>
      <c r="F4" s="166" t="n">
        <v>100</v>
      </c>
      <c r="G4" s="166">
        <f>F4*$L$2</f>
        <v/>
      </c>
      <c r="H4" s="165" t="n">
        <v>45904</v>
      </c>
      <c r="I4" s="40" t="n"/>
      <c r="K4" s="25" t="inlineStr">
        <is>
          <t>애플민트</t>
        </is>
      </c>
      <c r="L4" s="25" t="n">
        <v>56.6</v>
      </c>
    </row>
    <row r="5" ht="16.5" customHeight="1" s="141">
      <c r="A5" s="28">
        <f>IF(B5&lt;&gt;"",ROW()-1,"")</f>
        <v/>
      </c>
      <c r="B5" s="162" t="n">
        <v>45909</v>
      </c>
      <c r="C5" s="28" t="inlineStr">
        <is>
          <t>봄타코</t>
        </is>
      </c>
      <c r="D5" s="28" t="inlineStr">
        <is>
          <t>루꼴라</t>
        </is>
      </c>
      <c r="E5" s="163">
        <f>VLOOKUP(표1[[#This Row],[작물명]],$K$2:$L$5,2,FALSE)</f>
        <v/>
      </c>
      <c r="F5" s="164" t="n">
        <v>800</v>
      </c>
      <c r="G5" s="164">
        <f>F5*$L$2</f>
        <v/>
      </c>
      <c r="H5" s="162" t="n">
        <v>45911</v>
      </c>
      <c r="I5" s="39" t="n"/>
      <c r="K5" s="107" t="inlineStr">
        <is>
          <t>바질</t>
        </is>
      </c>
      <c r="L5" s="107" t="n">
        <v>30</v>
      </c>
    </row>
    <row r="6" ht="16.5" customHeight="1" s="141">
      <c r="A6" s="109">
        <f>IF(B6&lt;&gt;"",ROW()-1,"")</f>
        <v/>
      </c>
      <c r="B6" s="167" t="n">
        <v>45909</v>
      </c>
      <c r="C6" s="109" t="inlineStr">
        <is>
          <t>봄타코</t>
        </is>
      </c>
      <c r="D6" s="109" t="inlineStr">
        <is>
          <t>루꼴라</t>
        </is>
      </c>
      <c r="E6" s="168">
        <f>VLOOKUP(표1[[#This Row],[작물명]],$K$2:$L$5,2,FALSE)</f>
        <v/>
      </c>
      <c r="F6" s="169" t="n">
        <v>200</v>
      </c>
      <c r="G6" s="169" t="n">
        <v>0</v>
      </c>
      <c r="H6" s="167" t="n">
        <v>45911</v>
      </c>
      <c r="I6" s="112" t="inlineStr">
        <is>
          <t>시식용</t>
        </is>
      </c>
      <c r="K6" s="131" t="inlineStr">
        <is>
          <t>딸기(설향)</t>
        </is>
      </c>
      <c r="L6" s="131" t="n">
        <v>10</v>
      </c>
    </row>
    <row r="7" ht="16.5" customHeight="1" s="141">
      <c r="A7" s="109">
        <f>IF(B7&lt;&gt;"",ROW()-1,"")</f>
        <v/>
      </c>
      <c r="B7" s="167" t="n">
        <v>45909</v>
      </c>
      <c r="C7" s="109" t="inlineStr">
        <is>
          <t>남해횟집</t>
        </is>
      </c>
      <c r="D7" s="109" t="inlineStr">
        <is>
          <t>루꼴라</t>
        </is>
      </c>
      <c r="E7" s="168">
        <f>VLOOKUP(표1[[#This Row],[작물명]],$K$2:$L$5,2,FALSE)</f>
        <v/>
      </c>
      <c r="F7" s="169" t="n">
        <v>400</v>
      </c>
      <c r="G7" s="169" t="n">
        <v>0</v>
      </c>
      <c r="H7" s="167" t="n">
        <v>45911</v>
      </c>
      <c r="I7" s="112" t="inlineStr">
        <is>
          <t>테스트용</t>
        </is>
      </c>
      <c r="K7" s="131" t="inlineStr">
        <is>
          <t>애플수박</t>
        </is>
      </c>
      <c r="L7" s="131" t="n">
        <v>8</v>
      </c>
    </row>
    <row r="8" ht="16.5" customHeight="1" s="141">
      <c r="A8" s="109">
        <f>IF(B8&lt;&gt;"",ROW()-1,"")</f>
        <v/>
      </c>
      <c r="B8" s="167" t="n">
        <v>45909</v>
      </c>
      <c r="C8" s="109" t="inlineStr">
        <is>
          <t>까미노</t>
        </is>
      </c>
      <c r="D8" s="109" t="inlineStr">
        <is>
          <t>루꼴라</t>
        </is>
      </c>
      <c r="E8" s="168">
        <f>VLOOKUP(표1[[#This Row],[작물명]],$K$2:$L$5,2,FALSE)</f>
        <v/>
      </c>
      <c r="F8" s="169" t="n">
        <v>300</v>
      </c>
      <c r="G8" s="169" t="n">
        <v>0</v>
      </c>
      <c r="H8" s="167" t="n">
        <v>45911</v>
      </c>
      <c r="I8" s="112" t="inlineStr">
        <is>
          <t>시식용</t>
        </is>
      </c>
    </row>
    <row r="9" ht="16.5" customHeight="1" s="141">
      <c r="A9" s="109">
        <f>IF(B9&lt;&gt;"",ROW()-1,"")</f>
        <v/>
      </c>
      <c r="B9" s="167" t="n">
        <v>45909</v>
      </c>
      <c r="C9" s="109" t="inlineStr">
        <is>
          <t>요요네</t>
        </is>
      </c>
      <c r="D9" s="109" t="inlineStr">
        <is>
          <t>루꼴라</t>
        </is>
      </c>
      <c r="E9" s="168">
        <f>VLOOKUP(표1[[#This Row],[작물명]],$K$2:$L$5,2,FALSE)</f>
        <v/>
      </c>
      <c r="F9" s="169" t="n">
        <v>400</v>
      </c>
      <c r="G9" s="169">
        <f>F9*$L$2</f>
        <v/>
      </c>
      <c r="H9" s="167" t="n">
        <v>45911</v>
      </c>
      <c r="I9" s="112" t="n"/>
    </row>
    <row r="10" ht="16.5" customHeight="1" s="141">
      <c r="A10" s="109">
        <f>IF(B10&lt;&gt;"",ROW()-1,"")</f>
        <v/>
      </c>
      <c r="B10" s="167" t="n">
        <v>45909</v>
      </c>
      <c r="C10" s="109" t="inlineStr">
        <is>
          <t>까미노</t>
        </is>
      </c>
      <c r="D10" s="109" t="inlineStr">
        <is>
          <t>루꼴라</t>
        </is>
      </c>
      <c r="E10" s="168">
        <f>VLOOKUP(표1[[#This Row],[작물명]],$K$2:$L$5,2,FALSE)</f>
        <v/>
      </c>
      <c r="F10" s="169" t="n">
        <v>500</v>
      </c>
      <c r="G10" s="169">
        <f>F10*$L$2</f>
        <v/>
      </c>
      <c r="H10" s="167" t="n">
        <v>45911</v>
      </c>
      <c r="I10" s="112" t="n"/>
    </row>
    <row r="11" ht="16.5" customHeight="1" s="141">
      <c r="A11" s="109">
        <f>IF(B11&lt;&gt;"",ROW()-1,"")</f>
        <v/>
      </c>
      <c r="B11" s="167" t="n">
        <v>45909</v>
      </c>
      <c r="C11" s="109" t="inlineStr">
        <is>
          <t>419국수김밥</t>
        </is>
      </c>
      <c r="D11" s="109" t="inlineStr">
        <is>
          <t>루꼴라</t>
        </is>
      </c>
      <c r="E11" s="168">
        <f>VLOOKUP(표1[[#This Row],[작물명]],$K$2:$L$5,2,FALSE)</f>
        <v/>
      </c>
      <c r="F11" s="169" t="n">
        <v>500</v>
      </c>
      <c r="G11" s="169">
        <f>F11*$L$2</f>
        <v/>
      </c>
      <c r="H11" s="167" t="n">
        <v>45911</v>
      </c>
      <c r="I11" s="112" t="n"/>
    </row>
    <row r="12" ht="16.5" customHeight="1" s="141">
      <c r="A12" s="109">
        <f>IF(B12&lt;&gt;"",ROW()-1,"")</f>
        <v/>
      </c>
      <c r="B12" s="167" t="n">
        <v>45910</v>
      </c>
      <c r="C12" s="109" t="inlineStr">
        <is>
          <t>크을농</t>
        </is>
      </c>
      <c r="D12" s="109" t="inlineStr">
        <is>
          <t>루꼴라</t>
        </is>
      </c>
      <c r="E12" s="168">
        <f>VLOOKUP(표1[[#This Row],[작물명]],$K$2:$L$5,2,FALSE)</f>
        <v/>
      </c>
      <c r="F12" s="169" t="n">
        <v>500</v>
      </c>
      <c r="G12" s="169" t="n">
        <v>0</v>
      </c>
      <c r="H12" s="167" t="n">
        <v>45911</v>
      </c>
      <c r="I12" s="112" t="inlineStr">
        <is>
          <t>시식용</t>
        </is>
      </c>
    </row>
    <row r="13" ht="16.5" customHeight="1" s="141">
      <c r="A13" s="109">
        <f>IF(B13&lt;&gt;"",ROW()-1,"")</f>
        <v/>
      </c>
      <c r="B13" s="167" t="n">
        <v>45910</v>
      </c>
      <c r="C13" s="109" t="inlineStr">
        <is>
          <t>미즐 카페엠</t>
        </is>
      </c>
      <c r="D13" s="109" t="inlineStr">
        <is>
          <t>루꼴라</t>
        </is>
      </c>
      <c r="E13" s="168">
        <f>VLOOKUP(표1[[#This Row],[작물명]],$K$2:$L$5,2,FALSE)</f>
        <v/>
      </c>
      <c r="F13" s="169" t="n">
        <v>100</v>
      </c>
      <c r="G13" s="169" t="n">
        <v>0</v>
      </c>
      <c r="H13" s="167" t="n">
        <v>45911</v>
      </c>
      <c r="I13" s="112" t="inlineStr">
        <is>
          <t>시식용</t>
        </is>
      </c>
    </row>
    <row r="14" ht="16.5" customHeight="1" s="141">
      <c r="A14" s="109">
        <f>IF(B14&lt;&gt;"",ROW()-1,"")</f>
        <v/>
      </c>
      <c r="B14" s="167" t="n">
        <v>45910</v>
      </c>
      <c r="C14" s="109" t="inlineStr">
        <is>
          <t>미즐 카페엠</t>
        </is>
      </c>
      <c r="D14" s="109" t="inlineStr">
        <is>
          <t>루꼴라</t>
        </is>
      </c>
      <c r="E14" s="168">
        <f>VLOOKUP(표1[[#This Row],[작물명]],$K$2:$L$5,2,FALSE)</f>
        <v/>
      </c>
      <c r="F14" s="169" t="n">
        <v>100</v>
      </c>
      <c r="G14" s="169">
        <f>F14*$L$2</f>
        <v/>
      </c>
      <c r="H14" s="167" t="n">
        <v>45911</v>
      </c>
      <c r="I14" s="112" t="n"/>
    </row>
    <row r="15" ht="16.5" customHeight="1" s="141">
      <c r="A15" s="109">
        <f>IF(B15&lt;&gt;"",ROW()-1,"")</f>
        <v/>
      </c>
      <c r="B15" s="167" t="n">
        <v>45910</v>
      </c>
      <c r="C15" s="109" t="inlineStr">
        <is>
          <t>미즐 카페엠</t>
        </is>
      </c>
      <c r="D15" s="109" t="inlineStr">
        <is>
          <t>엽채류</t>
        </is>
      </c>
      <c r="E15" s="168">
        <f>VLOOKUP(표1[[#This Row],[작물명]],$K$2:$L$5,2,FALSE)</f>
        <v/>
      </c>
      <c r="F15" s="169" t="n"/>
      <c r="G15" s="169">
        <f>F15*$L$2</f>
        <v/>
      </c>
      <c r="H15" s="167" t="n">
        <v>45911</v>
      </c>
      <c r="I15" s="112" t="inlineStr">
        <is>
          <t>종류별</t>
        </is>
      </c>
    </row>
    <row r="16" ht="17.25" customHeight="1" s="141" thickBot="1">
      <c r="A16" s="113">
        <f>IF(B16&lt;&gt;"",ROW()-1,"")</f>
        <v/>
      </c>
      <c r="B16" s="170" t="n">
        <v>45910</v>
      </c>
      <c r="C16" s="113" t="inlineStr">
        <is>
          <t>요요네</t>
        </is>
      </c>
      <c r="D16" s="113" t="inlineStr">
        <is>
          <t>루꼴라</t>
        </is>
      </c>
      <c r="E16" s="168">
        <f>VLOOKUP(표1[[#This Row],[작물명]],$K$2:$L$5,2,FALSE)</f>
        <v/>
      </c>
      <c r="F16" s="171" t="n">
        <v>300</v>
      </c>
      <c r="G16" s="171" t="n">
        <v>0</v>
      </c>
      <c r="H16" s="167" t="n">
        <v>45911</v>
      </c>
      <c r="I16" s="115" t="inlineStr">
        <is>
          <t>시식용</t>
        </is>
      </c>
    </row>
    <row r="17" ht="17.25" customHeight="1" s="141" thickBot="1">
      <c r="A17" s="29">
        <f>IF(B17&lt;&gt;"",ROW()-1,"")</f>
        <v/>
      </c>
      <c r="B17" s="165" t="n">
        <v>45915</v>
      </c>
      <c r="C17" s="29" t="inlineStr">
        <is>
          <t>까미노</t>
        </is>
      </c>
      <c r="D17" s="29" t="inlineStr">
        <is>
          <t>루꼴라</t>
        </is>
      </c>
      <c r="E17" s="163">
        <f>VLOOKUP(표1[[#This Row],[작물명]],$K$2:$L$5,2,FALSE)</f>
        <v/>
      </c>
      <c r="F17" s="166" t="n">
        <v>500</v>
      </c>
      <c r="G17" s="166">
        <f>F17*$L$2</f>
        <v/>
      </c>
      <c r="H17" s="165" t="n">
        <v>45916</v>
      </c>
      <c r="I17" s="40" t="n"/>
    </row>
    <row r="18" ht="16.5" customHeight="1" s="141">
      <c r="A18" s="28">
        <f>IF(B18&lt;&gt;"",ROW()-1,"")</f>
        <v/>
      </c>
      <c r="B18" s="162" t="n">
        <v>45915</v>
      </c>
      <c r="C18" s="28" t="inlineStr">
        <is>
          <t>미즐 카페엠</t>
        </is>
      </c>
      <c r="D18" s="28" t="inlineStr">
        <is>
          <t>루꼴라</t>
        </is>
      </c>
      <c r="E18" s="163">
        <f>VLOOKUP(표1[[#This Row],[작물명]],$K$2:$L$5,2,FALSE)</f>
        <v/>
      </c>
      <c r="F18" s="164" t="n">
        <v>300</v>
      </c>
      <c r="G18" s="164">
        <f>F18*$L$2</f>
        <v/>
      </c>
      <c r="H18" s="162" t="n">
        <v>45919</v>
      </c>
      <c r="I18" s="39" t="inlineStr">
        <is>
          <t>금요일 납품</t>
        </is>
      </c>
    </row>
    <row r="19" ht="16.5" customHeight="1" s="141">
      <c r="A19" s="28">
        <f>IF(B19&lt;&gt;"",ROW()-1,"")</f>
        <v/>
      </c>
      <c r="B19" s="162" t="n">
        <v>45915</v>
      </c>
      <c r="C19" s="28" t="inlineStr">
        <is>
          <t>미즐 카페엠</t>
        </is>
      </c>
      <c r="D19" s="28" t="inlineStr">
        <is>
          <t>엽채류</t>
        </is>
      </c>
      <c r="E19" s="163">
        <f>VLOOKUP(표1[[#This Row],[작물명]],$K$2:$L$5,2,FALSE)</f>
        <v/>
      </c>
      <c r="F19" s="164" t="n">
        <v>300</v>
      </c>
      <c r="G19" s="164">
        <f>F19*11.5</f>
        <v/>
      </c>
      <c r="H19" s="162" t="n">
        <v>45919</v>
      </c>
      <c r="I19" s="39" t="inlineStr">
        <is>
          <t>금요일 납품</t>
        </is>
      </c>
    </row>
    <row r="20" ht="16.5" customHeight="1" s="141">
      <c r="A20" s="28">
        <f>IF(B20&lt;&gt;"",ROW()-1,"")</f>
        <v/>
      </c>
      <c r="B20" s="162" t="n">
        <v>45918</v>
      </c>
      <c r="C20" s="28" t="inlineStr">
        <is>
          <t>봄타코</t>
        </is>
      </c>
      <c r="D20" s="28" t="inlineStr">
        <is>
          <t>루꼴라</t>
        </is>
      </c>
      <c r="E20" s="163">
        <f>VLOOKUP(표1[[#This Row],[작물명]],$K$2:$L$5,2,FALSE)</f>
        <v/>
      </c>
      <c r="F20" s="164" t="n">
        <v>500</v>
      </c>
      <c r="G20" s="164">
        <f>F20*$L$2</f>
        <v/>
      </c>
      <c r="H20" s="162" t="n">
        <v>45919</v>
      </c>
      <c r="I20" s="39" t="n"/>
    </row>
    <row r="21" ht="16.5" customHeight="1" s="141">
      <c r="A21" s="28">
        <f>IF(B21&lt;&gt;"",ROW()-1,"")</f>
        <v/>
      </c>
      <c r="B21" s="162" t="n">
        <v>45918</v>
      </c>
      <c r="C21" s="28" t="inlineStr">
        <is>
          <t>까미노</t>
        </is>
      </c>
      <c r="D21" s="28" t="inlineStr">
        <is>
          <t>루꼴라</t>
        </is>
      </c>
      <c r="E21" s="163">
        <f>VLOOKUP(표1[[#This Row],[작물명]],$K$2:$L$5,2,FALSE)</f>
        <v/>
      </c>
      <c r="F21" s="164" t="n">
        <v>1000</v>
      </c>
      <c r="G21" s="164">
        <f>F21*$L$2</f>
        <v/>
      </c>
      <c r="H21" s="162" t="n">
        <v>45919</v>
      </c>
      <c r="I21" s="39" t="n"/>
    </row>
    <row r="22" ht="16.5" customHeight="1" s="141">
      <c r="A22" s="28">
        <f>IF(B22&lt;&gt;"",ROW()-1,"")</f>
        <v/>
      </c>
      <c r="B22" s="162" t="n">
        <v>45918</v>
      </c>
      <c r="C22" s="28" t="inlineStr">
        <is>
          <t>419국수김밥</t>
        </is>
      </c>
      <c r="D22" s="28" t="inlineStr">
        <is>
          <t>루꼴라</t>
        </is>
      </c>
      <c r="E22" s="163">
        <f>VLOOKUP(표1[[#This Row],[작물명]],$K$2:$L$5,2,FALSE)</f>
        <v/>
      </c>
      <c r="F22" s="164" t="n">
        <v>500</v>
      </c>
      <c r="G22" s="164">
        <f>F22*$L$2</f>
        <v/>
      </c>
      <c r="H22" s="162" t="n">
        <v>45919</v>
      </c>
      <c r="I22" s="39" t="n"/>
    </row>
    <row r="23" ht="16.5" customHeight="1" s="141">
      <c r="A23" s="28">
        <f>IF(B23&lt;&gt;"",ROW()-1,"")</f>
        <v/>
      </c>
      <c r="B23" s="162" t="n">
        <v>45918</v>
      </c>
      <c r="C23" s="28" t="inlineStr">
        <is>
          <t>419국수김밥</t>
        </is>
      </c>
      <c r="D23" s="28" t="n"/>
      <c r="E23" s="163">
        <f>VLOOKUP(표1[[#This Row],[작물명]],$K$2:$L$5,2,FALSE)</f>
        <v/>
      </c>
      <c r="F23" s="164" t="n"/>
      <c r="G23" s="164" t="n">
        <v>-10000</v>
      </c>
      <c r="H23" s="162" t="n"/>
      <c r="I23" s="39" t="inlineStr">
        <is>
          <t>기자 인터뷰 시식(김밥 2줄)</t>
        </is>
      </c>
    </row>
    <row r="24" ht="16.5" customHeight="1" s="141">
      <c r="A24" s="28">
        <f>IF(B24&lt;&gt;"",ROW()-1,"")</f>
        <v/>
      </c>
      <c r="B24" s="162" t="n">
        <v>45918</v>
      </c>
      <c r="C24" s="28" t="inlineStr">
        <is>
          <t>까미노</t>
        </is>
      </c>
      <c r="D24" s="28" t="n"/>
      <c r="E24" s="163">
        <f>VLOOKUP(표1[[#This Row],[작물명]],$K$2:$L$5,2,FALSE)</f>
        <v/>
      </c>
      <c r="F24" s="164" t="n"/>
      <c r="G24" s="164" t="n">
        <v>-11000</v>
      </c>
      <c r="H24" s="162" t="n"/>
      <c r="I24" s="39" t="inlineStr">
        <is>
          <t>기자 인터뷰 시식(빵 2개)</t>
        </is>
      </c>
    </row>
    <row r="25" ht="16.5" customHeight="1" s="141">
      <c r="A25" s="28">
        <f>IF(B25&lt;&gt;"",ROW()-1,"")</f>
        <v/>
      </c>
      <c r="B25" s="162" t="n">
        <v>45918</v>
      </c>
      <c r="C25" s="28" t="inlineStr">
        <is>
          <t>봄타코</t>
        </is>
      </c>
      <c r="D25" s="28" t="n"/>
      <c r="E25" s="163">
        <f>VLOOKUP(표1[[#This Row],[작물명]],$K$2:$L$5,2,FALSE)</f>
        <v/>
      </c>
      <c r="F25" s="164" t="n"/>
      <c r="G25" s="164" t="n">
        <v>-11000</v>
      </c>
      <c r="H25" s="162" t="n"/>
      <c r="I25" s="39" t="inlineStr">
        <is>
          <t>기자 인터뷰 시식(타코 1개)</t>
        </is>
      </c>
    </row>
    <row r="26" ht="17.25" customHeight="1" s="141" thickBot="1">
      <c r="A26" s="29">
        <f>IF(B26&lt;&gt;"",ROW()-1,"")</f>
        <v/>
      </c>
      <c r="B26" s="165" t="n">
        <v>45918</v>
      </c>
      <c r="C26" s="29" t="inlineStr">
        <is>
          <t>요요네</t>
        </is>
      </c>
      <c r="D26" s="29" t="n"/>
      <c r="E26" s="163">
        <f>VLOOKUP(표1[[#This Row],[작물명]],$K$2:$L$5,2,FALSE)</f>
        <v/>
      </c>
      <c r="F26" s="166" t="n"/>
      <c r="G26" s="166" t="n">
        <v>-19000</v>
      </c>
      <c r="H26" s="162" t="n"/>
      <c r="I26" s="40" t="inlineStr">
        <is>
          <t>기자 인터뷰 시식(메뉴 2개)</t>
        </is>
      </c>
    </row>
    <row r="27" ht="17.25" customHeight="1" s="141" thickBot="1">
      <c r="A27" s="30">
        <f>IF(B27&lt;&gt;"",ROW()-1,"")</f>
        <v/>
      </c>
      <c r="B27" s="172" t="n">
        <v>45922</v>
      </c>
      <c r="C27" s="30" t="inlineStr">
        <is>
          <t>까미노</t>
        </is>
      </c>
      <c r="D27" s="30" t="inlineStr">
        <is>
          <t>루꼴라</t>
        </is>
      </c>
      <c r="E27" s="163">
        <f>VLOOKUP(표1[[#This Row],[작물명]],$K$2:$L$5,2,FALSE)</f>
        <v/>
      </c>
      <c r="F27" s="173" t="n">
        <v>500</v>
      </c>
      <c r="G27" s="173">
        <f>F27*$L$2</f>
        <v/>
      </c>
      <c r="H27" s="172" t="n">
        <v>45923</v>
      </c>
      <c r="I27" s="41" t="n"/>
    </row>
    <row r="28" ht="16.5" customHeight="1" s="141">
      <c r="A28" s="28">
        <f>IF(B28&lt;&gt;"",ROW()-1,"")</f>
        <v/>
      </c>
      <c r="B28" s="162" t="n">
        <v>45925</v>
      </c>
      <c r="C28" s="28" t="inlineStr">
        <is>
          <t>까미노</t>
        </is>
      </c>
      <c r="D28" s="28" t="inlineStr">
        <is>
          <t>루꼴라</t>
        </is>
      </c>
      <c r="E28" s="163">
        <f>VLOOKUP(표1[[#This Row],[작물명]],$K$2:$L$5,2,FALSE)</f>
        <v/>
      </c>
      <c r="F28" s="164" t="n">
        <v>700</v>
      </c>
      <c r="G28" s="164">
        <f>F28*$L$2</f>
        <v/>
      </c>
      <c r="H28" s="162" t="n">
        <v>45926</v>
      </c>
      <c r="I28" s="39" t="n"/>
    </row>
    <row r="29" ht="17.25" customHeight="1" s="141" thickBot="1">
      <c r="A29" s="29">
        <f>IF(B29&lt;&gt;"",ROW()-1,"")</f>
        <v/>
      </c>
      <c r="B29" s="165" t="n">
        <v>45925</v>
      </c>
      <c r="C29" s="29" t="inlineStr">
        <is>
          <t>봄타코</t>
        </is>
      </c>
      <c r="D29" s="29" t="inlineStr">
        <is>
          <t>루꼴라</t>
        </is>
      </c>
      <c r="E29" s="163">
        <f>VLOOKUP(표1[[#This Row],[작물명]],$K$2:$L$5,2,FALSE)</f>
        <v/>
      </c>
      <c r="F29" s="166" t="n">
        <v>500</v>
      </c>
      <c r="G29" s="166">
        <f>F29*$L$2</f>
        <v/>
      </c>
      <c r="H29" s="165" t="n">
        <v>45926</v>
      </c>
      <c r="I29" s="40" t="n"/>
    </row>
    <row r="30" ht="16.5" customHeight="1" s="141">
      <c r="A30" s="28">
        <f>IF(B30&lt;&gt;"",ROW()-1,"")</f>
        <v/>
      </c>
      <c r="B30" s="162" t="n">
        <v>45929</v>
      </c>
      <c r="C30" s="28" t="inlineStr">
        <is>
          <t>미즐 카페엠</t>
        </is>
      </c>
      <c r="D30" s="28" t="inlineStr">
        <is>
          <t>엽채류</t>
        </is>
      </c>
      <c r="E30" s="163">
        <f>VLOOKUP(표1[[#This Row],[작물명]],$K$2:$L$5,2,FALSE)</f>
        <v/>
      </c>
      <c r="F30" s="164" t="n">
        <v>300</v>
      </c>
      <c r="G30" s="164">
        <f>IF(표1[[#This Row],[작물명]]=K2,표1[[#This Row],[주문수량(g)]]*L2,표1[[#This Row],[주문수량(g)]]*L3)</f>
        <v/>
      </c>
      <c r="H30" s="162" t="n">
        <v>45930</v>
      </c>
      <c r="I30" s="39" t="n"/>
    </row>
    <row r="31" ht="16.5" customHeight="1" s="141">
      <c r="A31" s="28">
        <f>IF(B31&lt;&gt;"",ROW()-1,"")</f>
        <v/>
      </c>
      <c r="B31" s="162" t="n">
        <v>45929</v>
      </c>
      <c r="C31" s="28" t="inlineStr">
        <is>
          <t>까미노</t>
        </is>
      </c>
      <c r="D31" s="28" t="inlineStr">
        <is>
          <t>루꼴라</t>
        </is>
      </c>
      <c r="E31" s="163">
        <f>VLOOKUP(표1[[#This Row],[작물명]],$K$2:$L$5,2,FALSE)</f>
        <v/>
      </c>
      <c r="F31" s="164" t="n">
        <v>2000</v>
      </c>
      <c r="G31" s="164">
        <f>F31*$L$2</f>
        <v/>
      </c>
      <c r="H31" s="162" t="n">
        <v>45930</v>
      </c>
      <c r="I31" s="39" t="n"/>
    </row>
    <row r="32" ht="17.25" customHeight="1" s="141" thickBot="1">
      <c r="A32" s="29">
        <f>IF(B32&lt;&gt;"",ROW()-1,"")</f>
        <v/>
      </c>
      <c r="B32" s="165" t="n">
        <v>45929</v>
      </c>
      <c r="C32" s="29" t="inlineStr">
        <is>
          <t>화수브루어리</t>
        </is>
      </c>
      <c r="D32" s="29" t="inlineStr">
        <is>
          <t>루꼴라</t>
        </is>
      </c>
      <c r="E32" s="163">
        <f>VLOOKUP(표1[[#This Row],[작물명]],$K$2:$L$5,2,FALSE)</f>
        <v/>
      </c>
      <c r="F32" s="166" t="n">
        <v>500</v>
      </c>
      <c r="G32" s="166">
        <f>F32*$L$2</f>
        <v/>
      </c>
      <c r="H32" s="165" t="n">
        <v>45930</v>
      </c>
      <c r="I32" s="40" t="n"/>
    </row>
    <row r="33" ht="16.5" customHeight="1" s="141">
      <c r="A33" s="28">
        <f>IF(B33&lt;&gt;"",ROW()-1,"")</f>
        <v/>
      </c>
      <c r="B33" s="162" t="n">
        <v>45931</v>
      </c>
      <c r="C33" s="28" t="inlineStr">
        <is>
          <t>봄타코</t>
        </is>
      </c>
      <c r="D33" s="28" t="inlineStr">
        <is>
          <t>루꼴라</t>
        </is>
      </c>
      <c r="E33" s="163">
        <f>VLOOKUP(표1[[#This Row],[작물명]],$K$2:$L$5,2,FALSE)</f>
        <v/>
      </c>
      <c r="F33" s="164" t="n">
        <v>600</v>
      </c>
      <c r="G33" s="164">
        <f>F33*$L$2</f>
        <v/>
      </c>
      <c r="H33" s="162" t="n">
        <v>45932</v>
      </c>
      <c r="I33" s="39" t="n"/>
    </row>
    <row r="34" ht="16.5" customHeight="1" s="141">
      <c r="A34" s="28">
        <f>IF(B34&lt;&gt;"",ROW()-1,"")</f>
        <v/>
      </c>
      <c r="B34" s="162" t="n">
        <v>45940</v>
      </c>
      <c r="C34" s="28" t="inlineStr">
        <is>
          <t>까미노</t>
        </is>
      </c>
      <c r="D34" s="28" t="inlineStr">
        <is>
          <t>루꼴라</t>
        </is>
      </c>
      <c r="E34" s="163">
        <f>VLOOKUP(표1[[#This Row],[작물명]],$K$2:$L$5,2,FALSE)</f>
        <v/>
      </c>
      <c r="F34" s="164" t="n">
        <v>1000</v>
      </c>
      <c r="G34" s="164">
        <f>F34*$L$2</f>
        <v/>
      </c>
      <c r="H34" s="162" t="n">
        <v>45940</v>
      </c>
      <c r="I34" s="39" t="n"/>
    </row>
    <row r="35" ht="17.25" customHeight="1" s="141" thickBot="1">
      <c r="A35" s="29">
        <f>IF(B35&lt;&gt;"",ROW()-1,"")</f>
        <v/>
      </c>
      <c r="B35" s="165" t="n">
        <v>45940</v>
      </c>
      <c r="C35" s="29" t="inlineStr">
        <is>
          <t>재간정</t>
        </is>
      </c>
      <c r="D35" s="29" t="inlineStr">
        <is>
          <t>애플민트</t>
        </is>
      </c>
      <c r="E35" s="163">
        <f>VLOOKUP(표1[[#This Row],[작물명]],$K$2:$L$5,2,FALSE)</f>
        <v/>
      </c>
      <c r="F35" s="166" t="n">
        <v>300</v>
      </c>
      <c r="G35" s="164">
        <f>F35*$L$2</f>
        <v/>
      </c>
      <c r="H35" s="165" t="n">
        <v>45940</v>
      </c>
      <c r="I35" s="40" t="n"/>
    </row>
    <row r="36" ht="16.5" customHeight="1" s="141">
      <c r="A36" s="28">
        <f>IF(B36&lt;&gt;"",ROW()-1,"")</f>
        <v/>
      </c>
      <c r="B36" s="162" t="n">
        <v>45943</v>
      </c>
      <c r="C36" s="28" t="inlineStr">
        <is>
          <t>419국수김밥</t>
        </is>
      </c>
      <c r="D36" s="28" t="inlineStr">
        <is>
          <t>루꼴라</t>
        </is>
      </c>
      <c r="E36" s="163">
        <f>VLOOKUP(표1[[#This Row],[작물명]],$K$2:$L$5,2,FALSE)</f>
        <v/>
      </c>
      <c r="F36" s="164" t="n">
        <v>5000</v>
      </c>
      <c r="G36" s="164">
        <f>F36*$L$2</f>
        <v/>
      </c>
      <c r="H36" s="162" t="n">
        <v>45944</v>
      </c>
      <c r="I36" s="39" t="n"/>
    </row>
    <row r="37" ht="17.25" customHeight="1" s="141" thickBot="1">
      <c r="A37" s="29">
        <f>IF(B37&lt;&gt;"",ROW()-1,"")</f>
        <v/>
      </c>
      <c r="B37" s="165" t="n">
        <v>45943</v>
      </c>
      <c r="C37" s="29" t="inlineStr">
        <is>
          <t>화수브루어리</t>
        </is>
      </c>
      <c r="D37" s="29" t="inlineStr">
        <is>
          <t>루꼴라</t>
        </is>
      </c>
      <c r="E37" s="163">
        <f>VLOOKUP(표1[[#This Row],[작물명]],$K$2:$L$5,2,FALSE)</f>
        <v/>
      </c>
      <c r="F37" s="166" t="n">
        <v>500</v>
      </c>
      <c r="G37" s="166">
        <f>F37*$L$2</f>
        <v/>
      </c>
      <c r="H37" s="165" t="n">
        <v>45944</v>
      </c>
      <c r="I37" s="40" t="n"/>
    </row>
    <row r="38" ht="16.5" customHeight="1" s="141">
      <c r="A38" s="28">
        <f>IF(B38&lt;&gt;"",ROW()-1,"")</f>
        <v/>
      </c>
      <c r="B38" s="162" t="n">
        <v>45945</v>
      </c>
      <c r="C38" s="28" t="inlineStr">
        <is>
          <t>미즐 카페엠</t>
        </is>
      </c>
      <c r="D38" s="28" t="inlineStr">
        <is>
          <t>루꼴라</t>
        </is>
      </c>
      <c r="E38" s="163">
        <f>VLOOKUP(표1[[#This Row],[작물명]],$K$2:$L$5,2,FALSE)</f>
        <v/>
      </c>
      <c r="F38" s="164" t="n">
        <v>200</v>
      </c>
      <c r="G38" s="164">
        <f>표1[[#This Row],[단가]]*표1[[#This Row],[주문수량(g)]]</f>
        <v/>
      </c>
      <c r="H38" s="162" t="n">
        <v>45946</v>
      </c>
      <c r="I38" s="39" t="n"/>
    </row>
    <row r="39" ht="16.5" customHeight="1" s="141">
      <c r="A39" s="28">
        <f>IF(B39&lt;&gt;"",ROW()-1,"")</f>
        <v/>
      </c>
      <c r="B39" s="162" t="n">
        <v>45945</v>
      </c>
      <c r="C39" s="28" t="inlineStr">
        <is>
          <t>미즐 카페엠</t>
        </is>
      </c>
      <c r="D39" s="28" t="inlineStr">
        <is>
          <t>엽채류</t>
        </is>
      </c>
      <c r="E39" s="163">
        <f>VLOOKUP(표1[[#This Row],[작물명]],$K$2:$L$5,2,FALSE)</f>
        <v/>
      </c>
      <c r="F39" s="164" t="n">
        <v>200</v>
      </c>
      <c r="G39" s="164">
        <f>표1[[#This Row],[단가]]*표1[[#This Row],[주문수량(g)]]</f>
        <v/>
      </c>
      <c r="H39" s="162" t="n">
        <v>45946</v>
      </c>
      <c r="I39" s="39" t="inlineStr">
        <is>
          <t>이자트릭스</t>
        </is>
      </c>
    </row>
    <row r="40" ht="16.5" customHeight="1" s="141">
      <c r="A40" s="28">
        <f>IF(B40&lt;&gt;"",ROW()-1,"")</f>
        <v/>
      </c>
      <c r="B40" s="162" t="n">
        <v>45945</v>
      </c>
      <c r="C40" s="28" t="inlineStr">
        <is>
          <t>까미노</t>
        </is>
      </c>
      <c r="D40" s="28" t="inlineStr">
        <is>
          <t>루꼴라</t>
        </is>
      </c>
      <c r="E40" s="163">
        <f>VLOOKUP(표1[[#This Row],[작물명]],$K$2:$L$5,2,FALSE)</f>
        <v/>
      </c>
      <c r="F40" s="164" t="n">
        <v>2000</v>
      </c>
      <c r="G40" s="164">
        <f>표1[[#This Row],[단가]]*표1[[#This Row],[주문수량(g)]]</f>
        <v/>
      </c>
      <c r="H40" s="162" t="n">
        <v>45946</v>
      </c>
      <c r="I40" s="39" t="inlineStr">
        <is>
          <t>300g씩 소분 요청</t>
        </is>
      </c>
    </row>
    <row r="41" ht="17.25" customHeight="1" s="141" thickBot="1">
      <c r="A41" s="29">
        <f>IF(B41&lt;&gt;"",ROW()-1,"")</f>
        <v/>
      </c>
      <c r="B41" s="165" t="n">
        <v>45945</v>
      </c>
      <c r="C41" s="29" t="inlineStr">
        <is>
          <t>크을농</t>
        </is>
      </c>
      <c r="D41" s="29" t="inlineStr">
        <is>
          <t>루꼴라</t>
        </is>
      </c>
      <c r="E41" s="163">
        <f>VLOOKUP(표1[[#This Row],[작물명]],$K$2:$L$5,2,FALSE)</f>
        <v/>
      </c>
      <c r="F41" s="166" t="n">
        <v>4000</v>
      </c>
      <c r="G41" s="166">
        <f>표1[[#This Row],[단가]]*표1[[#This Row],[주문수량(g)]]</f>
        <v/>
      </c>
      <c r="H41" s="162" t="n">
        <v>45946</v>
      </c>
      <c r="I41" s="40" t="n"/>
    </row>
    <row r="42" ht="16.5" customHeight="1" s="141">
      <c r="A42" s="28">
        <f>IF(B42&lt;&gt;"",ROW()-1,"")</f>
        <v/>
      </c>
      <c r="B42" s="162" t="n">
        <v>45950</v>
      </c>
      <c r="C42" s="28" t="inlineStr">
        <is>
          <t>까미노</t>
        </is>
      </c>
      <c r="D42" s="28" t="inlineStr">
        <is>
          <t>루꼴라</t>
        </is>
      </c>
      <c r="E42" s="163">
        <f>VLOOKUP(표1[[#This Row],[작물명]],$K$2:$L$5,2,FALSE)</f>
        <v/>
      </c>
      <c r="F42" s="164" t="n">
        <v>1000</v>
      </c>
      <c r="G42" s="164">
        <f>표1[[#This Row],[단가]]*표1[[#This Row],[주문수량(g)]]</f>
        <v/>
      </c>
      <c r="H42" s="162" t="n">
        <v>45951</v>
      </c>
      <c r="I42" s="39" t="inlineStr">
        <is>
          <t>300g씩 소분 요청</t>
        </is>
      </c>
    </row>
    <row r="43" ht="16.5" customHeight="1" s="141">
      <c r="A43" s="28">
        <f>IF(B43&lt;&gt;"",ROW()-1,"")</f>
        <v/>
      </c>
      <c r="B43" s="162" t="n">
        <v>45950</v>
      </c>
      <c r="C43" s="28" t="inlineStr">
        <is>
          <t>재간정</t>
        </is>
      </c>
      <c r="D43" s="28" t="inlineStr">
        <is>
          <t>애플민트</t>
        </is>
      </c>
      <c r="E43" s="163">
        <f>VLOOKUP(표1[[#This Row],[작물명]],$K$2:$L$5,2,FALSE)</f>
        <v/>
      </c>
      <c r="F43" s="164" t="n">
        <v>100</v>
      </c>
      <c r="G43" s="164">
        <f>표1[[#This Row],[단가]]*표1[[#This Row],[주문수량(g)]]</f>
        <v/>
      </c>
      <c r="H43" s="162" t="n">
        <v>45950</v>
      </c>
      <c r="I43" s="39" t="n"/>
    </row>
    <row r="44" ht="16.5" customHeight="1" s="141">
      <c r="A44" s="28">
        <f>IF(B44&lt;&gt;"",ROW()-1,"")</f>
        <v/>
      </c>
      <c r="B44" s="162" t="n">
        <v>45951</v>
      </c>
      <c r="C44" s="28" t="inlineStr">
        <is>
          <t>419국수김밥</t>
        </is>
      </c>
      <c r="D44" s="28" t="inlineStr">
        <is>
          <t>루꼴라</t>
        </is>
      </c>
      <c r="E44" s="163">
        <f>VLOOKUP(표1[[#This Row],[작물명]],$K$2:$L$5,2,FALSE)</f>
        <v/>
      </c>
      <c r="F44" s="164" t="n">
        <v>1000</v>
      </c>
      <c r="G44" s="164">
        <f>표1[[#This Row],[단가]]*표1[[#This Row],[주문수량(g)]]</f>
        <v/>
      </c>
      <c r="H44" s="162" t="n">
        <v>45951</v>
      </c>
      <c r="I44" s="39" t="n"/>
    </row>
    <row r="45" ht="17.25" customHeight="1" s="141" thickBot="1">
      <c r="A45" s="29">
        <f>IF(B45&lt;&gt;"",ROW()-1,"")</f>
        <v/>
      </c>
      <c r="B45" s="165" t="n">
        <v>45952</v>
      </c>
      <c r="C45" s="29" t="inlineStr">
        <is>
          <t>재간정</t>
        </is>
      </c>
      <c r="D45" s="29" t="inlineStr">
        <is>
          <t>애플민트</t>
        </is>
      </c>
      <c r="E45" s="163">
        <f>VLOOKUP(표1[[#This Row],[작물명]],$K$2:$L$5,2,FALSE)</f>
        <v/>
      </c>
      <c r="F45" s="166" t="n">
        <v>100</v>
      </c>
      <c r="G45" s="166">
        <f>표1[[#This Row],[단가]]*표1[[#This Row],[주문수량(g)]]</f>
        <v/>
      </c>
      <c r="H45" s="165" t="n">
        <v>45952</v>
      </c>
      <c r="I45" s="40" t="n"/>
    </row>
    <row r="46" ht="16.5" customHeight="1" s="141">
      <c r="A46" s="28">
        <f>IF(B46&lt;&gt;"",ROW()-1,"")</f>
        <v/>
      </c>
      <c r="B46" s="162" t="n">
        <v>45953</v>
      </c>
      <c r="C46" s="28" t="inlineStr">
        <is>
          <t>요요네</t>
        </is>
      </c>
      <c r="D46" s="28" t="inlineStr">
        <is>
          <t>루꼴라</t>
        </is>
      </c>
      <c r="E46" s="163">
        <f>VLOOKUP(표1[[#This Row],[작물명]],$K$2:$L$5,2,FALSE)</f>
        <v/>
      </c>
      <c r="F46" s="164" t="n">
        <v>300</v>
      </c>
      <c r="G46" s="164">
        <f>표1[[#This Row],[단가]]*표1[[#This Row],[주문수량(g)]]</f>
        <v/>
      </c>
      <c r="H46" s="162" t="n">
        <v>45954</v>
      </c>
      <c r="I46" s="39" t="n"/>
    </row>
    <row r="47" ht="16.5" customHeight="1" s="141">
      <c r="A47" s="28">
        <f>IF(B47&lt;&gt;"",ROW()-1,"")</f>
        <v/>
      </c>
      <c r="B47" s="162" t="n">
        <v>45954</v>
      </c>
      <c r="C47" s="28" t="inlineStr">
        <is>
          <t>재간정</t>
        </is>
      </c>
      <c r="D47" s="28" t="inlineStr">
        <is>
          <t>애플민트</t>
        </is>
      </c>
      <c r="E47" s="163">
        <f>VLOOKUP(표1[[#This Row],[작물명]],$K$2:$L$5,2,FALSE)</f>
        <v/>
      </c>
      <c r="F47" s="164" t="n">
        <v>200</v>
      </c>
      <c r="G47" s="164">
        <f>표1[[#This Row],[단가]]*표1[[#This Row],[주문수량(g)]]</f>
        <v/>
      </c>
      <c r="H47" s="162" t="n">
        <v>45954</v>
      </c>
      <c r="I47" s="39" t="n"/>
    </row>
    <row r="48" ht="16.5" customHeight="1" s="141">
      <c r="A48" s="28">
        <f>IF(B48&lt;&gt;"",ROW()-1,"")</f>
        <v/>
      </c>
      <c r="B48" s="162" t="n">
        <v>45954</v>
      </c>
      <c r="C48" s="28" t="inlineStr">
        <is>
          <t>미즐 카페엠</t>
        </is>
      </c>
      <c r="D48" s="28" t="inlineStr">
        <is>
          <t>루꼴라</t>
        </is>
      </c>
      <c r="E48" s="163">
        <f>VLOOKUP(표1[[#This Row],[작물명]],$K$2:$L$5,2,FALSE)</f>
        <v/>
      </c>
      <c r="F48" s="164" t="n">
        <v>300</v>
      </c>
      <c r="G48" s="164">
        <f>표1[[#This Row],[단가]]*표1[[#This Row],[주문수량(g)]]</f>
        <v/>
      </c>
      <c r="H48" s="162" t="n">
        <v>45954</v>
      </c>
      <c r="I48" s="39" t="n"/>
    </row>
    <row r="49" ht="16.5" customHeight="1" s="141">
      <c r="A49" s="28">
        <f>IF(B49&lt;&gt;"",ROW()-1,"")</f>
        <v/>
      </c>
      <c r="B49" s="162" t="n">
        <v>45954</v>
      </c>
      <c r="C49" s="28" t="inlineStr">
        <is>
          <t>미즐 카페엠</t>
        </is>
      </c>
      <c r="D49" s="28" t="inlineStr">
        <is>
          <t>엽채류</t>
        </is>
      </c>
      <c r="E49" s="163">
        <f>VLOOKUP(표1[[#This Row],[작물명]],$K$2:$L$5,2,FALSE)</f>
        <v/>
      </c>
      <c r="F49" s="164" t="n">
        <v>300</v>
      </c>
      <c r="G49" s="164">
        <f>표1[[#This Row],[단가]]*표1[[#This Row],[주문수량(g)]]</f>
        <v/>
      </c>
      <c r="H49" s="162" t="n">
        <v>45954</v>
      </c>
      <c r="I49" s="39" t="inlineStr">
        <is>
          <t>이자트릭스</t>
        </is>
      </c>
    </row>
    <row r="50" ht="16.5" customHeight="1" s="141">
      <c r="A50" s="28">
        <f>IF(B50&lt;&gt;"",ROW()-1,"")</f>
        <v/>
      </c>
      <c r="B50" s="162" t="n">
        <v>45954</v>
      </c>
      <c r="C50" s="28" t="inlineStr">
        <is>
          <t>까미노</t>
        </is>
      </c>
      <c r="D50" s="28" t="inlineStr">
        <is>
          <t>루꼴라</t>
        </is>
      </c>
      <c r="E50" s="163">
        <f>VLOOKUP(표1[[#This Row],[작물명]],$K$2:$L$5,2,FALSE)</f>
        <v/>
      </c>
      <c r="F50" s="164" t="n">
        <v>1500</v>
      </c>
      <c r="G50" s="164">
        <f>표1[[#This Row],[단가]]*표1[[#This Row],[주문수량(g)]]</f>
        <v/>
      </c>
      <c r="H50" s="162" t="n">
        <v>45954</v>
      </c>
      <c r="I50" s="39" t="n"/>
    </row>
    <row r="51" ht="16.5" customHeight="1" s="141">
      <c r="A51" s="28">
        <f>IF(B51&lt;&gt;"",ROW()-1,"")</f>
        <v/>
      </c>
      <c r="B51" s="162" t="n">
        <v>45958</v>
      </c>
      <c r="C51" s="28" t="inlineStr">
        <is>
          <t>재간정</t>
        </is>
      </c>
      <c r="D51" s="28" t="inlineStr">
        <is>
          <t>애플민트</t>
        </is>
      </c>
      <c r="E51" s="163">
        <f>VLOOKUP(표1[[#This Row],[작물명]],$K$2:$L$5,2,FALSE)</f>
        <v/>
      </c>
      <c r="F51" s="164" t="n">
        <v>400</v>
      </c>
      <c r="G51" s="164">
        <f>표1[[#This Row],[단가]]*표1[[#This Row],[주문수량(g)]]</f>
        <v/>
      </c>
      <c r="H51" s="162" t="n">
        <v>45958</v>
      </c>
      <c r="I51" s="39" t="n"/>
    </row>
    <row r="52" ht="17.25" customHeight="1" s="141" thickBot="1">
      <c r="A52" s="29">
        <f>IF(B52&lt;&gt;"",ROW()-1,"")</f>
        <v/>
      </c>
      <c r="B52" s="165" t="n">
        <v>45961</v>
      </c>
      <c r="C52" s="29" t="inlineStr">
        <is>
          <t>재간정</t>
        </is>
      </c>
      <c r="D52" s="29" t="inlineStr">
        <is>
          <t>애플민트</t>
        </is>
      </c>
      <c r="E52" s="163">
        <f>VLOOKUP(표1[[#This Row],[작물명]],$K$2:$L$5,2,FALSE)</f>
        <v/>
      </c>
      <c r="F52" s="166" t="n">
        <v>400</v>
      </c>
      <c r="G52" s="166">
        <f>표1[[#This Row],[단가]]*표1[[#This Row],[주문수량(g)]]</f>
        <v/>
      </c>
      <c r="H52" s="165" t="n">
        <v>45961</v>
      </c>
      <c r="I52" s="40" t="n"/>
    </row>
    <row r="53" ht="16.5" customHeight="1" s="141">
      <c r="A53" s="28">
        <f>IF(B53&lt;&gt;"",ROW()-1,"")</f>
        <v/>
      </c>
      <c r="B53" s="162" t="n">
        <v>45967</v>
      </c>
      <c r="C53" s="28" t="inlineStr">
        <is>
          <t>재간정</t>
        </is>
      </c>
      <c r="D53" s="28" t="inlineStr">
        <is>
          <t>애플민트</t>
        </is>
      </c>
      <c r="E53" s="163">
        <f>VLOOKUP(표1[[#This Row],[작물명]],$K$2:$L$5,2,FALSE)</f>
        <v/>
      </c>
      <c r="F53" s="164" t="n">
        <v>400</v>
      </c>
      <c r="G53" s="164">
        <f>표1[[#This Row],[단가]]*표1[[#This Row],[주문수량(g)]]</f>
        <v/>
      </c>
      <c r="H53" s="162" t="n">
        <v>45967</v>
      </c>
      <c r="I53" s="39" t="n"/>
    </row>
    <row r="54" ht="16.5" customHeight="1" s="141">
      <c r="A54" s="28">
        <f>IF(B54&lt;&gt;"",ROW()-1,"")</f>
        <v/>
      </c>
      <c r="B54" s="162" t="n">
        <v>45973</v>
      </c>
      <c r="C54" s="28" t="inlineStr">
        <is>
          <t>재간정</t>
        </is>
      </c>
      <c r="D54" s="28" t="inlineStr">
        <is>
          <t>애플민트</t>
        </is>
      </c>
      <c r="E54" s="163">
        <f>VLOOKUP(표1[[#This Row],[작물명]],$K$2:$L$5,2,FALSE)</f>
        <v/>
      </c>
      <c r="F54" s="164" t="n">
        <v>400</v>
      </c>
      <c r="G54" s="164">
        <f>표1[[#This Row],[단가]]*표1[[#This Row],[주문수량(g)]]</f>
        <v/>
      </c>
      <c r="H54" s="162" t="n">
        <v>45973</v>
      </c>
      <c r="I54" s="39" t="n"/>
    </row>
    <row r="55" ht="16.5" customHeight="1" s="141">
      <c r="A55" s="28">
        <f>IF(B55&lt;&gt;"",ROW()-1,"")</f>
        <v/>
      </c>
      <c r="B55" s="162" t="n">
        <v>45979</v>
      </c>
      <c r="C55" s="28" t="inlineStr">
        <is>
          <t>재간정</t>
        </is>
      </c>
      <c r="D55" s="28" t="inlineStr">
        <is>
          <t>애플민트</t>
        </is>
      </c>
      <c r="E55" s="163">
        <f>VLOOKUP(표1[[#This Row],[작물명]],$K$2:$L$5,2,FALSE)</f>
        <v/>
      </c>
      <c r="F55" s="164" t="n">
        <v>400</v>
      </c>
      <c r="G55" s="164">
        <f>표1[[#This Row],[단가]]*표1[[#This Row],[주문수량(g)]]</f>
        <v/>
      </c>
      <c r="H55" s="162" t="n">
        <v>45979</v>
      </c>
      <c r="I55" s="39" t="n"/>
    </row>
    <row r="56" ht="16.5" customHeight="1" s="141">
      <c r="A56" s="28">
        <f>IF(B56&lt;&gt;"",ROW()-1,"")</f>
        <v/>
      </c>
      <c r="B56" s="162" t="n">
        <v>45982</v>
      </c>
      <c r="C56" s="28" t="inlineStr">
        <is>
          <t>재간정</t>
        </is>
      </c>
      <c r="D56" s="28" t="inlineStr">
        <is>
          <t>애플민트</t>
        </is>
      </c>
      <c r="E56" s="163">
        <f>VLOOKUP(표1[[#This Row],[작물명]],$K$2:$L$5,2,FALSE)</f>
        <v/>
      </c>
      <c r="F56" s="164" t="n">
        <v>400</v>
      </c>
      <c r="G56" s="164">
        <f>표1[[#This Row],[단가]]*표1[[#This Row],[주문수량(g)]]</f>
        <v/>
      </c>
      <c r="H56" s="162" t="n">
        <v>45982</v>
      </c>
      <c r="I56" s="39" t="n"/>
    </row>
    <row r="57" ht="16.5" customHeight="1" s="141">
      <c r="A57" s="28">
        <f>IF(B57&lt;&gt;"",ROW()-1,"")</f>
        <v/>
      </c>
      <c r="B57" s="162" t="n">
        <v>45982</v>
      </c>
      <c r="C57" s="28" t="inlineStr">
        <is>
          <t>까미노</t>
        </is>
      </c>
      <c r="D57" s="28" t="inlineStr">
        <is>
          <t>루꼴라</t>
        </is>
      </c>
      <c r="E57" s="163">
        <f>VLOOKUP(표1[[#This Row],[작물명]],$K$2:$L$5,2,FALSE)</f>
        <v/>
      </c>
      <c r="F57" s="164" t="n">
        <v>700</v>
      </c>
      <c r="G57" s="164" t="n">
        <v>0</v>
      </c>
      <c r="H57" s="162" t="n"/>
      <c r="I57" s="39" t="inlineStr">
        <is>
          <t>9.18. 금액 상계처리</t>
        </is>
      </c>
    </row>
    <row r="58" ht="17.25" customHeight="1" s="141" thickBot="1">
      <c r="A58" s="28">
        <f>IF(B58&lt;&gt;"",ROW()-1,"")</f>
        <v/>
      </c>
      <c r="B58" s="165" t="n">
        <v>45988</v>
      </c>
      <c r="C58" s="29" t="inlineStr">
        <is>
          <t>까미노</t>
        </is>
      </c>
      <c r="D58" s="29" t="inlineStr">
        <is>
          <t>루꼴라</t>
        </is>
      </c>
      <c r="E58" s="163">
        <f>VLOOKUP(표1[[#This Row],[작물명]],$K$2:$L$5,2,FALSE)</f>
        <v/>
      </c>
      <c r="F58" s="166" t="n">
        <v>450</v>
      </c>
      <c r="G58" s="166">
        <f>표1[[#This Row],[단가]]*표1[[#This Row],[주문수량(g)]]</f>
        <v/>
      </c>
      <c r="H58" s="165" t="n">
        <v>45989</v>
      </c>
      <c r="I58" s="40" t="n"/>
    </row>
    <row r="59" ht="16.5" customHeight="1" s="141">
      <c r="A59" s="28">
        <f>IF(B59&lt;&gt;"",ROW()-1,"")</f>
        <v/>
      </c>
      <c r="B59" s="162" t="n">
        <v>46000</v>
      </c>
      <c r="C59" s="28" t="inlineStr">
        <is>
          <t>까미노</t>
        </is>
      </c>
      <c r="D59" s="28" t="inlineStr">
        <is>
          <t>루꼴라</t>
        </is>
      </c>
      <c r="E59" s="163">
        <f>VLOOKUP(표1[[#This Row],[작물명]],$K$2:$L$5,2,FALSE)</f>
        <v/>
      </c>
      <c r="F59" s="164" t="n">
        <v>500</v>
      </c>
      <c r="G59" s="164">
        <f>표1[[#This Row],[단가]]*표1[[#This Row],[주문수량(g)]]</f>
        <v/>
      </c>
      <c r="H59" s="162" t="n">
        <v>46000</v>
      </c>
      <c r="I59" s="39" t="n"/>
    </row>
    <row r="60" ht="16.5" customHeight="1" s="141">
      <c r="A60" s="28">
        <f>IF(B60&lt;&gt;"",ROW()-1,"")</f>
        <v/>
      </c>
      <c r="B60" s="162" t="n">
        <v>46000</v>
      </c>
      <c r="C60" s="28" t="inlineStr">
        <is>
          <t>419국수김밥</t>
        </is>
      </c>
      <c r="D60" s="28" t="inlineStr">
        <is>
          <t>루꼴라</t>
        </is>
      </c>
      <c r="E60" s="163">
        <f>VLOOKUP(표1[[#This Row],[작물명]],$K$2:$L$5,2,FALSE)</f>
        <v/>
      </c>
      <c r="F60" s="164" t="n">
        <v>500</v>
      </c>
      <c r="G60" s="164">
        <f>표1[[#This Row],[단가]]*표1[[#This Row],[주문수량(g)]]</f>
        <v/>
      </c>
      <c r="H60" s="162" t="n">
        <v>46000</v>
      </c>
      <c r="I60" s="39" t="n"/>
    </row>
    <row r="61" ht="16.5" customHeight="1" s="141">
      <c r="A61" s="28">
        <f>IF(B61&lt;&gt;"",ROW()-1,"")</f>
        <v/>
      </c>
      <c r="B61" s="162" t="n">
        <v>46000</v>
      </c>
      <c r="C61" s="28" t="inlineStr">
        <is>
          <t>이설함흥냉면</t>
        </is>
      </c>
      <c r="D61" s="28" t="inlineStr">
        <is>
          <t>루꼴라</t>
        </is>
      </c>
      <c r="E61" s="163">
        <f>VLOOKUP(표1[[#This Row],[작물명]],$K$2:$L$5,2,FALSE)</f>
        <v/>
      </c>
      <c r="F61" s="164" t="n">
        <v>200</v>
      </c>
      <c r="G61" s="164" t="n">
        <v>0</v>
      </c>
      <c r="H61" s="162" t="n"/>
      <c r="I61" s="39" t="inlineStr">
        <is>
          <t>샘플</t>
        </is>
      </c>
    </row>
    <row r="62" ht="16.5" customHeight="1" s="141">
      <c r="A62" s="28">
        <f>IF(B62&lt;&gt;"",ROW()-1,"")</f>
        <v/>
      </c>
      <c r="B62" s="162" t="n">
        <v>46007</v>
      </c>
      <c r="C62" s="28" t="inlineStr">
        <is>
          <t>까미노</t>
        </is>
      </c>
      <c r="D62" s="28" t="inlineStr">
        <is>
          <t>루꼴라</t>
        </is>
      </c>
      <c r="E62" s="163">
        <f>VLOOKUP(표1[[#This Row],[작물명]],$K$2:$L$5,2,FALSE)</f>
        <v/>
      </c>
      <c r="F62" s="164" t="n">
        <v>500</v>
      </c>
      <c r="G62" s="164">
        <f>표1[[#This Row],[단가]]*표1[[#This Row],[주문수량(g)]]</f>
        <v/>
      </c>
      <c r="H62" s="162" t="n">
        <v>46007</v>
      </c>
      <c r="I62" s="39" t="n"/>
    </row>
    <row r="63" ht="16.5" customHeight="1" s="141">
      <c r="A63" s="28">
        <f>IF(B63&lt;&gt;"",ROW()-1,"")</f>
        <v/>
      </c>
      <c r="B63" s="162" t="n">
        <v>46007</v>
      </c>
      <c r="C63" s="28" t="inlineStr">
        <is>
          <t>크을농</t>
        </is>
      </c>
      <c r="D63" s="28" t="inlineStr">
        <is>
          <t>루꼴라</t>
        </is>
      </c>
      <c r="E63" s="163">
        <f>VLOOKUP(표1[[#This Row],[작물명]],$K$2:$L$5,2,FALSE)</f>
        <v/>
      </c>
      <c r="F63" s="164" t="n">
        <v>2000</v>
      </c>
      <c r="G63" s="164">
        <f>표1[[#This Row],[단가]]*표1[[#This Row],[주문수량(g)]]</f>
        <v/>
      </c>
      <c r="H63" s="162" t="n">
        <v>46007</v>
      </c>
      <c r="I63" s="39" t="n"/>
    </row>
    <row r="64" ht="16.5" customHeight="1" s="141">
      <c r="A64" s="28">
        <f>IF(B64&lt;&gt;"",ROW()-1,"")</f>
        <v/>
      </c>
      <c r="B64" s="162" t="n">
        <v>46009</v>
      </c>
      <c r="C64" s="28" t="inlineStr">
        <is>
          <t>재간정</t>
        </is>
      </c>
      <c r="D64" s="28" t="inlineStr">
        <is>
          <t>애플민트</t>
        </is>
      </c>
      <c r="E64" s="163">
        <f>VLOOKUP(표1[[#This Row],[작물명]],$K$2:$L$5,2,FALSE)</f>
        <v/>
      </c>
      <c r="F64" s="164" t="n">
        <v>300</v>
      </c>
      <c r="G64" s="164">
        <f>표1[[#This Row],[단가]]*표1[[#This Row],[주문수량(g)]]</f>
        <v/>
      </c>
      <c r="H64" s="162" t="n">
        <v>46009</v>
      </c>
      <c r="I64" s="39" t="n"/>
    </row>
    <row r="65" ht="16.5" customHeight="1" s="141">
      <c r="A65" s="28">
        <f>IF(B65&lt;&gt;"",ROW()-1,"")</f>
        <v/>
      </c>
      <c r="B65" s="162" t="n">
        <v>46014</v>
      </c>
      <c r="C65" s="28" t="inlineStr">
        <is>
          <t>까미노</t>
        </is>
      </c>
      <c r="D65" s="28" t="inlineStr">
        <is>
          <t>루꼴라</t>
        </is>
      </c>
      <c r="E65" s="163">
        <f>VLOOKUP(표1[[#This Row],[작물명]],$K$2:$L$5,2,FALSE)</f>
        <v/>
      </c>
      <c r="F65" s="164" t="n">
        <v>500</v>
      </c>
      <c r="G65" s="164">
        <f>표1[[#This Row],[단가]]*표1[[#This Row],[주문수량(g)]]</f>
        <v/>
      </c>
      <c r="H65" s="162" t="n">
        <v>46014</v>
      </c>
      <c r="I65" s="39" t="n"/>
    </row>
    <row r="66" ht="16.5" customHeight="1" s="141">
      <c r="A66" s="28">
        <f>IF(B66&lt;&gt;"",ROW()-1,"")</f>
        <v/>
      </c>
      <c r="B66" s="162" t="n">
        <v>46017</v>
      </c>
      <c r="C66" s="28" t="inlineStr">
        <is>
          <t>까미노</t>
        </is>
      </c>
      <c r="D66" s="28" t="inlineStr">
        <is>
          <t>루꼴라</t>
        </is>
      </c>
      <c r="E66" s="163">
        <f>VLOOKUP(표1[[#This Row],[작물명]],$K$2:$L$5,2,FALSE)</f>
        <v/>
      </c>
      <c r="F66" s="164" t="n">
        <v>500</v>
      </c>
      <c r="G66" s="164">
        <f>표1[[#This Row],[단가]]*표1[[#This Row],[주문수량(g)]]</f>
        <v/>
      </c>
      <c r="H66" s="162" t="n">
        <v>46017</v>
      </c>
      <c r="I66" s="39" t="n"/>
    </row>
    <row r="67" ht="16.5" customHeight="1" s="141">
      <c r="A67" s="28">
        <f>IF(B67&lt;&gt;"",ROW()-1,"")</f>
        <v/>
      </c>
      <c r="B67" s="162" t="n">
        <v>46017</v>
      </c>
      <c r="C67" s="28" t="inlineStr">
        <is>
          <t>미즐 카페엠</t>
        </is>
      </c>
      <c r="D67" s="28" t="inlineStr">
        <is>
          <t>루꼴라</t>
        </is>
      </c>
      <c r="E67" s="163">
        <f>VLOOKUP(표1[[#This Row],[작물명]],$K$2:$L$5,2,FALSE)</f>
        <v/>
      </c>
      <c r="F67" s="164" t="n">
        <v>300</v>
      </c>
      <c r="G67" s="164">
        <f>표1[[#This Row],[단가]]*표1[[#This Row],[주문수량(g)]]</f>
        <v/>
      </c>
      <c r="H67" s="162" t="n">
        <v>46017</v>
      </c>
      <c r="I67" s="39" t="n"/>
    </row>
    <row r="68" ht="16.5" customHeight="1" s="141">
      <c r="A68" s="28">
        <f>IF(B68&lt;&gt;"",ROW()-1,"")</f>
        <v/>
      </c>
      <c r="B68" s="162" t="n">
        <v>46017</v>
      </c>
      <c r="C68" s="28" t="inlineStr">
        <is>
          <t>미즐 카페엠</t>
        </is>
      </c>
      <c r="D68" s="28" t="inlineStr">
        <is>
          <t>엽채류</t>
        </is>
      </c>
      <c r="E68" s="163">
        <f>VLOOKUP(표1[[#This Row],[작물명]],$K$2:$L$5,2,FALSE)</f>
        <v/>
      </c>
      <c r="F68" s="164" t="n">
        <v>200</v>
      </c>
      <c r="G68" s="164">
        <f>표1[[#This Row],[단가]]*표1[[#This Row],[주문수량(g)]]</f>
        <v/>
      </c>
      <c r="H68" s="162" t="n">
        <v>46017</v>
      </c>
      <c r="I68" s="39" t="inlineStr">
        <is>
          <t>이자트릭스</t>
        </is>
      </c>
    </row>
    <row r="69" ht="16.5" customHeight="1" s="141">
      <c r="A69" s="28">
        <f>IF(B71&lt;&gt;"",ROW()-1,"")</f>
        <v/>
      </c>
      <c r="B69" s="165" t="n">
        <v>46021</v>
      </c>
      <c r="C69" s="29" t="inlineStr">
        <is>
          <t>크을농</t>
        </is>
      </c>
      <c r="D69" s="29" t="inlineStr">
        <is>
          <t>루꼴라</t>
        </is>
      </c>
      <c r="E69" s="163">
        <f>VLOOKUP(표1[[#This Row],[작물명]],$K$2:$L$5,2,FALSE)</f>
        <v/>
      </c>
      <c r="F69" s="166" t="n">
        <v>1000</v>
      </c>
      <c r="G69" s="166">
        <f>표1[[#This Row],[단가]]*표1[[#This Row],[주문수량(g)]]</f>
        <v/>
      </c>
      <c r="H69" s="165" t="n"/>
      <c r="I69" s="40" t="n"/>
    </row>
    <row r="70" ht="16.5" customHeight="1" s="141">
      <c r="A70" s="28">
        <f>IF(B72&lt;&gt;"",ROW()-1,"")</f>
        <v/>
      </c>
      <c r="B70" s="162" t="n">
        <v>46024</v>
      </c>
      <c r="C70" s="28" t="inlineStr">
        <is>
          <t>까미노</t>
        </is>
      </c>
      <c r="D70" s="28" t="inlineStr">
        <is>
          <t>루꼴라</t>
        </is>
      </c>
      <c r="E70" s="163">
        <f>VLOOKUP(표1[[#This Row],[작물명]],$K$2:$L$5,2,FALSE)</f>
        <v/>
      </c>
      <c r="F70" s="164" t="n">
        <v>500</v>
      </c>
      <c r="G70" s="174">
        <f>표1[[#This Row],[단가]]*표1[[#This Row],[주문수량(g)]]</f>
        <v/>
      </c>
      <c r="H70" s="162" t="n">
        <v>46024</v>
      </c>
      <c r="I70" s="39" t="n"/>
    </row>
    <row r="71" ht="17.25" customHeight="1" s="141" thickBot="1">
      <c r="A71" s="28">
        <f>IF(B73&lt;&gt;"",ROW()-1,"")</f>
        <v/>
      </c>
      <c r="B71" s="162" t="n">
        <v>46024</v>
      </c>
      <c r="C71" s="28" t="inlineStr">
        <is>
          <t>419국수김밥</t>
        </is>
      </c>
      <c r="D71" s="28" t="inlineStr">
        <is>
          <t>루꼴라</t>
        </is>
      </c>
      <c r="E71" s="163">
        <f>VLOOKUP(표1[[#This Row],[작물명]],$K$2:$L$5,2,FALSE)</f>
        <v/>
      </c>
      <c r="F71" s="164" t="n">
        <v>500</v>
      </c>
      <c r="G71" s="164">
        <f>표1[[#This Row],[단가]]*표1[[#This Row],[주문수량(g)]]</f>
        <v/>
      </c>
      <c r="H71" s="162" t="n">
        <v>46024</v>
      </c>
      <c r="I71" s="39" t="n"/>
    </row>
    <row r="72" ht="16.5" customHeight="1" s="141">
      <c r="A72" s="28">
        <f>IF(B74&lt;&gt;"",ROW()-1,"")</f>
        <v/>
      </c>
      <c r="B72" s="162" t="n">
        <v>46028</v>
      </c>
      <c r="C72" s="28" t="inlineStr">
        <is>
          <t>재간정</t>
        </is>
      </c>
      <c r="D72" s="28" t="inlineStr">
        <is>
          <t>애플민트</t>
        </is>
      </c>
      <c r="E72" s="163">
        <f>VLOOKUP(표1[[#This Row],[작물명]],$K$2:$L$5,2,FALSE)</f>
        <v/>
      </c>
      <c r="F72" s="164" t="n">
        <v>400</v>
      </c>
      <c r="G72" s="164">
        <f>표1[[#This Row],[단가]]*표1[[#This Row],[주문수량(g)]]</f>
        <v/>
      </c>
      <c r="H72" s="162" t="n">
        <v>46028</v>
      </c>
      <c r="I72" s="39" t="n"/>
    </row>
    <row r="73" ht="16.5" customHeight="1" s="141">
      <c r="A73" s="28">
        <f>IF(B75&lt;&gt;"",ROW()-1,"")</f>
        <v/>
      </c>
      <c r="B73" s="162" t="n">
        <v>46029</v>
      </c>
      <c r="C73" s="28" t="inlineStr">
        <is>
          <t>까미노</t>
        </is>
      </c>
      <c r="D73" s="28" t="inlineStr">
        <is>
          <t>루꼴라</t>
        </is>
      </c>
      <c r="E73" s="163">
        <f>VLOOKUP(표1[[#This Row],[작물명]],$K$2:$L$5,2,FALSE)</f>
        <v/>
      </c>
      <c r="F73" s="164" t="n">
        <v>300</v>
      </c>
      <c r="G73" s="164">
        <f>표1[[#This Row],[단가]]*표1[[#This Row],[주문수량(g)]]</f>
        <v/>
      </c>
      <c r="H73" s="162" t="n">
        <v>46029</v>
      </c>
      <c r="I73" s="39" t="n"/>
    </row>
    <row r="74" ht="16.5" customHeight="1" s="141">
      <c r="A74" s="28">
        <f>IF(B76&lt;&gt;"",ROW()-1,"")</f>
        <v/>
      </c>
      <c r="B74" s="162" t="n">
        <v>46029</v>
      </c>
      <c r="C74" s="28" t="inlineStr">
        <is>
          <t>민지네</t>
        </is>
      </c>
      <c r="D74" s="28" t="inlineStr">
        <is>
          <t>애플민트</t>
        </is>
      </c>
      <c r="E74" s="163">
        <f>VLOOKUP(표1[[#This Row],[작물명]],$K$2:$L$5,2,FALSE)</f>
        <v/>
      </c>
      <c r="F74" s="164" t="n">
        <v>100</v>
      </c>
      <c r="G74" s="164">
        <f>표1[[#This Row],[단가]]*표1[[#This Row],[주문수량(g)]]</f>
        <v/>
      </c>
      <c r="H74" s="162" t="n">
        <v>46029</v>
      </c>
      <c r="I74" s="39" t="n"/>
    </row>
    <row r="75" ht="16.5" customHeight="1" s="141">
      <c r="A75" s="28">
        <f>IF(B77&lt;&gt;"",ROW()-1,"")</f>
        <v/>
      </c>
      <c r="B75" s="162" t="n">
        <v>46031</v>
      </c>
      <c r="C75" s="28" t="inlineStr">
        <is>
          <t>크을농</t>
        </is>
      </c>
      <c r="D75" s="28" t="inlineStr">
        <is>
          <t>루꼴라</t>
        </is>
      </c>
      <c r="E75" s="163">
        <f>VLOOKUP(표1[[#This Row],[작물명]],$K$2:$L$5,2,FALSE)</f>
        <v/>
      </c>
      <c r="F75" s="164" t="n">
        <v>1000</v>
      </c>
      <c r="G75" s="164">
        <f>표1[[#This Row],[단가]]*표1[[#This Row],[주문수량(g)]]</f>
        <v/>
      </c>
      <c r="H75" s="162" t="n">
        <v>46031</v>
      </c>
      <c r="I75" s="39" t="n"/>
    </row>
    <row r="76" ht="16.5" customHeight="1" s="141">
      <c r="A76" s="28">
        <f>IF(B78&lt;&gt;"",ROW()-1,"")</f>
        <v/>
      </c>
      <c r="B76" s="162" t="n">
        <v>46031</v>
      </c>
      <c r="C76" s="28" t="inlineStr">
        <is>
          <t>까미노</t>
        </is>
      </c>
      <c r="D76" s="28" t="inlineStr">
        <is>
          <t>루꼴라</t>
        </is>
      </c>
      <c r="E76" s="163">
        <f>VLOOKUP(표1[[#This Row],[작물명]],$K$2:$L$5,2,FALSE)</f>
        <v/>
      </c>
      <c r="F76" s="164" t="n">
        <v>500</v>
      </c>
      <c r="G76" s="164">
        <f>표1[[#This Row],[단가]]*표1[[#This Row],[주문수량(g)]]</f>
        <v/>
      </c>
      <c r="H76" s="162" t="n">
        <v>46031</v>
      </c>
      <c r="I76" s="39" t="n"/>
    </row>
    <row r="77" ht="16.5" customHeight="1" s="141">
      <c r="A77" s="28">
        <f>IF(B79&lt;&gt;"",ROW()-1,"")</f>
        <v/>
      </c>
      <c r="B77" s="162" t="n">
        <v>46035</v>
      </c>
      <c r="C77" s="28" t="inlineStr">
        <is>
          <t>봄타코</t>
        </is>
      </c>
      <c r="D77" s="28" t="inlineStr">
        <is>
          <t>루꼴라</t>
        </is>
      </c>
      <c r="E77" s="163">
        <f>VLOOKUP(표1[[#This Row],[작물명]],$K$2:$L$5,2,FALSE)</f>
        <v/>
      </c>
      <c r="F77" s="164" t="n">
        <v>800</v>
      </c>
      <c r="G77" s="164">
        <f>표1[[#This Row],[단가]]*표1[[#This Row],[주문수량(g)]]</f>
        <v/>
      </c>
      <c r="H77" s="162" t="n">
        <v>46035</v>
      </c>
      <c r="I77" s="39" t="n"/>
    </row>
    <row r="78" ht="16.5" customHeight="1" s="141">
      <c r="A78" s="28">
        <f>IF(B80&lt;&gt;"",ROW()-1,"")</f>
        <v/>
      </c>
      <c r="B78" s="162" t="n">
        <v>46038</v>
      </c>
      <c r="C78" s="28" t="inlineStr">
        <is>
          <t>까미노</t>
        </is>
      </c>
      <c r="D78" s="28" t="inlineStr">
        <is>
          <t>루꼴라</t>
        </is>
      </c>
      <c r="E78" s="163">
        <f>VLOOKUP(표1[[#This Row],[작물명]],$K$2:$L$5,2,FALSE)</f>
        <v/>
      </c>
      <c r="F78" s="164" t="n">
        <v>500</v>
      </c>
      <c r="G78" s="164">
        <f>표1[[#This Row],[단가]]*표1[[#This Row],[주문수량(g)]]</f>
        <v/>
      </c>
      <c r="H78" s="162" t="n">
        <v>46038</v>
      </c>
      <c r="I78" s="39" t="n"/>
    </row>
    <row r="79" ht="16.5" customHeight="1" s="141">
      <c r="A79" s="28">
        <f>IF(B81&lt;&gt;"",ROW()-1,"")</f>
        <v/>
      </c>
      <c r="B79" s="162" t="n">
        <v>46042</v>
      </c>
      <c r="C79" s="28" t="inlineStr">
        <is>
          <t>크을농</t>
        </is>
      </c>
      <c r="D79" s="28" t="inlineStr">
        <is>
          <t>루꼴라</t>
        </is>
      </c>
      <c r="E79" s="163">
        <f>VLOOKUP(표1[[#This Row],[작물명]],$K$2:$L$5,2,FALSE)</f>
        <v/>
      </c>
      <c r="F79" s="164" t="n">
        <v>1000</v>
      </c>
      <c r="G79" s="164">
        <f>표1[[#This Row],[단가]]*표1[[#This Row],[주문수량(g)]]</f>
        <v/>
      </c>
      <c r="H79" s="162" t="n">
        <v>46042</v>
      </c>
      <c r="I79" s="39" t="n"/>
    </row>
    <row r="80" ht="16.5" customHeight="1" s="141">
      <c r="A80" s="28">
        <f>IF(B82&lt;&gt;"",ROW()-1,"")</f>
        <v/>
      </c>
      <c r="B80" s="162" t="n">
        <v>46042</v>
      </c>
      <c r="C80" s="28" t="inlineStr">
        <is>
          <t>419국수김밥</t>
        </is>
      </c>
      <c r="D80" s="28" t="inlineStr">
        <is>
          <t>루꼴라</t>
        </is>
      </c>
      <c r="E80" s="163">
        <f>VLOOKUP(표1[[#This Row],[작물명]],$K$2:$L$5,2,FALSE)</f>
        <v/>
      </c>
      <c r="F80" s="164" t="n">
        <v>500</v>
      </c>
      <c r="G80" s="164">
        <f>표1[[#This Row],[단가]]*표1[[#This Row],[주문수량(g)]]</f>
        <v/>
      </c>
      <c r="H80" s="162" t="n">
        <v>46042</v>
      </c>
      <c r="I80" s="39" t="n"/>
    </row>
    <row r="81" ht="16.5" customHeight="1" s="141">
      <c r="A81" s="28">
        <f>IF(B83&lt;&gt;"",ROW()-1,"")</f>
        <v/>
      </c>
      <c r="B81" s="162" t="n">
        <v>46042</v>
      </c>
      <c r="C81" s="28" t="inlineStr">
        <is>
          <t>요요네</t>
        </is>
      </c>
      <c r="D81" s="28" t="inlineStr">
        <is>
          <t>루꼴라</t>
        </is>
      </c>
      <c r="E81" s="163">
        <f>VLOOKUP(표1[[#This Row],[작물명]],$K$2:$L$5,2,FALSE)</f>
        <v/>
      </c>
      <c r="F81" s="164" t="n">
        <v>500</v>
      </c>
      <c r="G81" s="164">
        <f>표1[[#This Row],[단가]]*표1[[#This Row],[주문수량(g)]]</f>
        <v/>
      </c>
      <c r="H81" s="162" t="n">
        <v>46042</v>
      </c>
      <c r="I81" s="39" t="n"/>
    </row>
    <row r="82" ht="16.5" customHeight="1" s="141">
      <c r="A82" s="28">
        <f>IF(B84&lt;&gt;"",ROW()-1,"")</f>
        <v/>
      </c>
      <c r="B82" s="162" t="n">
        <v>46045</v>
      </c>
      <c r="C82" s="28" t="inlineStr">
        <is>
          <t>까미노</t>
        </is>
      </c>
      <c r="D82" s="28" t="inlineStr">
        <is>
          <t>루꼴라</t>
        </is>
      </c>
      <c r="E82" s="163">
        <f>VLOOKUP(표1[[#This Row],[작물명]],$K$2:$L$5,2,FALSE)</f>
        <v/>
      </c>
      <c r="F82" s="164" t="n">
        <v>500</v>
      </c>
      <c r="G82" s="164">
        <f>표1[[#This Row],[단가]]*표1[[#This Row],[주문수량(g)]]</f>
        <v/>
      </c>
      <c r="H82" s="162" t="n">
        <v>46045</v>
      </c>
      <c r="I82" s="39" t="n"/>
    </row>
    <row r="83" ht="16.5" customHeight="1" s="141">
      <c r="A83" s="28">
        <f>IF(B85&lt;&gt;"",ROW()-1,"")</f>
        <v/>
      </c>
      <c r="B83" s="162" t="n">
        <v>46049</v>
      </c>
      <c r="C83" s="28" t="inlineStr">
        <is>
          <t>재간정</t>
        </is>
      </c>
      <c r="D83" s="28" t="inlineStr">
        <is>
          <t>애플민트</t>
        </is>
      </c>
      <c r="E83" s="163">
        <f>VLOOKUP(표1[[#This Row],[작물명]],$K$2:$L$5,2,FALSE)</f>
        <v/>
      </c>
      <c r="F83" s="164" t="n">
        <v>400</v>
      </c>
      <c r="G83" s="164">
        <f>표1[[#This Row],[단가]]*표1[[#This Row],[주문수량(g)]]</f>
        <v/>
      </c>
      <c r="H83" s="162" t="n">
        <v>46049</v>
      </c>
      <c r="I83" s="39" t="n"/>
    </row>
    <row r="84" ht="16.5" customHeight="1" s="141">
      <c r="A84" s="28">
        <f>IF(B86&lt;&gt;"",ROW()-1,"")</f>
        <v/>
      </c>
      <c r="B84" s="162" t="n">
        <v>46050</v>
      </c>
      <c r="C84" s="28" t="inlineStr">
        <is>
          <t>까미노</t>
        </is>
      </c>
      <c r="D84" s="28" t="inlineStr">
        <is>
          <t>루꼴라</t>
        </is>
      </c>
      <c r="E84" s="163">
        <f>VLOOKUP(표1[[#This Row],[작물명]],$K$2:$L$5,2,FALSE)</f>
        <v/>
      </c>
      <c r="F84" s="164" t="n">
        <v>300</v>
      </c>
      <c r="G84" s="164">
        <f>표1[[#This Row],[단가]]*표1[[#This Row],[주문수량(g)]]</f>
        <v/>
      </c>
      <c r="H84" s="162" t="n">
        <v>46050</v>
      </c>
      <c r="I84" s="39" t="n"/>
    </row>
    <row r="85" ht="16.5" customHeight="1" s="141">
      <c r="A85" s="28">
        <f>IF(B87&lt;&gt;"",ROW()-1,"")</f>
        <v/>
      </c>
      <c r="B85" s="162" t="n">
        <v>46050</v>
      </c>
      <c r="C85" s="28" t="inlineStr">
        <is>
          <t>크을농</t>
        </is>
      </c>
      <c r="D85" s="28" t="inlineStr">
        <is>
          <t>루꼴라</t>
        </is>
      </c>
      <c r="E85" s="163">
        <f>VLOOKUP(표1[[#This Row],[작물명]],$K$2:$L$5,2,FALSE)</f>
        <v/>
      </c>
      <c r="F85" s="164" t="n">
        <v>1000</v>
      </c>
      <c r="G85" s="164">
        <f>표1[[#This Row],[단가]]*표1[[#This Row],[주문수량(g)]]</f>
        <v/>
      </c>
      <c r="H85" s="162" t="n">
        <v>46050</v>
      </c>
      <c r="I85" s="39" t="n"/>
    </row>
    <row r="86" ht="16.5" customHeight="1" s="141">
      <c r="A86" s="28">
        <f>IF(B88&lt;&gt;"",ROW()-1,"")</f>
        <v/>
      </c>
      <c r="B86" s="162" t="n">
        <v>46052</v>
      </c>
      <c r="C86" s="28" t="inlineStr">
        <is>
          <t>까미노</t>
        </is>
      </c>
      <c r="D86" s="28" t="inlineStr">
        <is>
          <t>루꼴라</t>
        </is>
      </c>
      <c r="E86" s="163">
        <f>VLOOKUP(표1[[#This Row],[작물명]],$K$2:$L$5,2,FALSE)</f>
        <v/>
      </c>
      <c r="F86" s="164" t="n">
        <v>500</v>
      </c>
      <c r="G86" s="164">
        <f>표1[[#This Row],[단가]]*표1[[#This Row],[주문수량(g)]]</f>
        <v/>
      </c>
      <c r="H86" s="162" t="n">
        <v>46052</v>
      </c>
      <c r="I86" s="39" t="n"/>
    </row>
    <row r="87" ht="16.5" customHeight="1" s="141">
      <c r="A87" s="28">
        <f>IF(B89&lt;&gt;"",ROW()-1,"")</f>
        <v/>
      </c>
      <c r="B87" s="162" t="n">
        <v>46059</v>
      </c>
      <c r="C87" s="28" t="inlineStr">
        <is>
          <t>까미노</t>
        </is>
      </c>
      <c r="D87" s="28" t="inlineStr">
        <is>
          <t>루꼴라</t>
        </is>
      </c>
      <c r="E87" s="163">
        <f>VLOOKUP(표1[[#This Row],[작물명]],$K$2:$L$5,2,FALSE)</f>
        <v/>
      </c>
      <c r="F87" s="164" t="n">
        <v>500</v>
      </c>
      <c r="G87" s="164">
        <f>표1[[#This Row],[단가]]*표1[[#This Row],[주문수량(g)]]</f>
        <v/>
      </c>
      <c r="H87" s="162" t="n">
        <v>46059</v>
      </c>
      <c r="I87" s="39" t="n"/>
    </row>
    <row r="88" ht="16.5" customHeight="1" s="141">
      <c r="A88" s="28">
        <f>IF(B90&lt;&gt;"",ROW()-1,"")</f>
        <v/>
      </c>
      <c r="B88" s="162" t="n">
        <v>46059</v>
      </c>
      <c r="C88" s="28" t="inlineStr">
        <is>
          <t>미즐 카페엠</t>
        </is>
      </c>
      <c r="D88" s="28" t="inlineStr">
        <is>
          <t>루꼴라</t>
        </is>
      </c>
      <c r="E88" s="163">
        <f>VLOOKUP(표1[[#This Row],[작물명]],$K$2:$L$5,2,FALSE)</f>
        <v/>
      </c>
      <c r="F88" s="164" t="n">
        <v>300</v>
      </c>
      <c r="G88" s="164">
        <f>표1[[#This Row],[단가]]*표1[[#This Row],[주문수량(g)]]</f>
        <v/>
      </c>
      <c r="H88" s="162" t="n">
        <v>46059</v>
      </c>
      <c r="I88" s="39" t="n"/>
    </row>
    <row r="89" ht="16.5" customHeight="1" s="141">
      <c r="A89" s="28">
        <f>IF(B91&lt;&gt;"",ROW()-1,"")</f>
        <v/>
      </c>
      <c r="B89" s="162" t="n">
        <v>46059</v>
      </c>
      <c r="C89" s="28" t="inlineStr">
        <is>
          <t>미즐 카페엠</t>
        </is>
      </c>
      <c r="D89" s="28" t="inlineStr">
        <is>
          <t>엽채류</t>
        </is>
      </c>
      <c r="E89" s="163">
        <f>VLOOKUP(표1[[#This Row],[작물명]],$K$2:$L$5,2,FALSE)</f>
        <v/>
      </c>
      <c r="F89" s="164" t="n">
        <v>200</v>
      </c>
      <c r="G89" s="164">
        <f>표1[[#This Row],[단가]]*표1[[#This Row],[주문수량(g)]]</f>
        <v/>
      </c>
      <c r="H89" s="162" t="n">
        <v>46059</v>
      </c>
      <c r="I89" s="39" t="inlineStr">
        <is>
          <t>이자트릭스</t>
        </is>
      </c>
    </row>
    <row r="90" ht="16.5" customHeight="1" s="141">
      <c r="A90" s="28">
        <f>IF(B92&lt;&gt;"",ROW()-1,"")</f>
        <v/>
      </c>
      <c r="B90" s="162" t="n">
        <v>46063</v>
      </c>
      <c r="C90" s="28" t="inlineStr">
        <is>
          <t>까미노</t>
        </is>
      </c>
      <c r="D90" s="28" t="inlineStr">
        <is>
          <t>루꼴라</t>
        </is>
      </c>
      <c r="E90" s="163">
        <f>VLOOKUP(표1[[#This Row],[작물명]],$K$2:$L$5,2,FALSE)</f>
        <v/>
      </c>
      <c r="F90" s="164" t="n">
        <v>500</v>
      </c>
      <c r="G90" s="164">
        <f>표1[[#This Row],[단가]]*표1[[#This Row],[주문수량(g)]]</f>
        <v/>
      </c>
      <c r="H90" s="162" t="n">
        <v>46064</v>
      </c>
      <c r="I90" s="39" t="n"/>
    </row>
    <row r="91" ht="16.5" customHeight="1" s="141">
      <c r="A91" s="28">
        <f>IF(B93&lt;&gt;"",ROW()-1,"")</f>
        <v/>
      </c>
      <c r="B91" s="162" t="n">
        <v>46064</v>
      </c>
      <c r="C91" s="28" t="inlineStr">
        <is>
          <t>온터</t>
        </is>
      </c>
      <c r="D91" s="28" t="inlineStr">
        <is>
          <t>딸기</t>
        </is>
      </c>
      <c r="E91" s="163">
        <f>VLOOKUP(표1[[#This Row],[작물명]],$K$2:$L$5,2,FALSE)</f>
        <v/>
      </c>
      <c r="F91" s="164" t="n">
        <v>11</v>
      </c>
      <c r="G91" s="164">
        <f>표1[[#This Row],[단가]]*표1[[#This Row],[주문수량(g)]]</f>
        <v/>
      </c>
      <c r="H91" s="162" t="n">
        <v>46065</v>
      </c>
      <c r="I91" s="39" t="inlineStr">
        <is>
          <t>대과</t>
        </is>
      </c>
    </row>
    <row r="92" ht="16.5" customHeight="1" s="141">
      <c r="A92" s="28">
        <f>IF(B94&lt;&gt;"",ROW()-1,"")</f>
        <v/>
      </c>
      <c r="B92" s="162" t="n">
        <v>46066</v>
      </c>
      <c r="C92" s="28" t="inlineStr">
        <is>
          <t>크을농</t>
        </is>
      </c>
      <c r="D92" s="28" t="inlineStr">
        <is>
          <t>루꼴라</t>
        </is>
      </c>
      <c r="E92" s="163">
        <f>VLOOKUP(표1[[#This Row],[작물명]],$K$2:$L$5,2,FALSE)</f>
        <v/>
      </c>
      <c r="F92" s="164" t="n">
        <v>1000</v>
      </c>
      <c r="G92" s="164">
        <f>표1[[#This Row],[단가]]*표1[[#This Row],[주문수량(g)]]</f>
        <v/>
      </c>
      <c r="H92" s="162" t="n">
        <v>46066</v>
      </c>
      <c r="I92" s="39" t="n"/>
    </row>
    <row r="93" ht="16.5" customHeight="1" s="141">
      <c r="A93" s="28">
        <f>IF(B95&lt;&gt;"",ROW()-1,"")</f>
        <v/>
      </c>
      <c r="B93" s="162" t="n">
        <v>46066</v>
      </c>
      <c r="C93" s="28" t="inlineStr">
        <is>
          <t>419국수김밥</t>
        </is>
      </c>
      <c r="D93" s="28" t="inlineStr">
        <is>
          <t>루꼴라</t>
        </is>
      </c>
      <c r="E93" s="163">
        <f>VLOOKUP(표1[[#This Row],[작물명]],$K$2:$L$5,2,FALSE)</f>
        <v/>
      </c>
      <c r="F93" s="164" t="n">
        <v>500</v>
      </c>
      <c r="G93" s="164">
        <f>표1[[#This Row],[단가]]*표1[[#This Row],[주문수량(g)]]</f>
        <v/>
      </c>
      <c r="H93" s="162" t="n">
        <v>46066</v>
      </c>
      <c r="I93" s="39" t="n"/>
    </row>
    <row r="94" ht="16.5" customHeight="1" s="141">
      <c r="A94" s="28">
        <f>IF(B96&lt;&gt;"",ROW()-1,"")</f>
        <v/>
      </c>
      <c r="B94" s="162" t="n">
        <v>46067</v>
      </c>
      <c r="C94" s="28" t="inlineStr">
        <is>
          <t>재간정</t>
        </is>
      </c>
      <c r="D94" s="28" t="inlineStr">
        <is>
          <t>딸기</t>
        </is>
      </c>
      <c r="E94" s="163">
        <f>VLOOKUP(표1[[#This Row],[작물명]],$K$2:$L$5,2,FALSE)</f>
        <v/>
      </c>
      <c r="F94" s="164" t="n">
        <v>4</v>
      </c>
      <c r="G94" s="164">
        <f>표1[[#This Row],[단가]]*표1[[#This Row],[주문수량(g)]]</f>
        <v/>
      </c>
      <c r="H94" s="162" t="n">
        <v>46067</v>
      </c>
      <c r="I94" s="39" t="n"/>
    </row>
    <row r="95" ht="16.5" customHeight="1" s="141">
      <c r="A95" s="28">
        <f>IF(B97&lt;&gt;"",ROW()-1,"")</f>
        <v/>
      </c>
      <c r="B95" s="162" t="n">
        <v>46073</v>
      </c>
      <c r="C95" s="28" t="inlineStr">
        <is>
          <t>크을농</t>
        </is>
      </c>
      <c r="D95" s="28" t="inlineStr">
        <is>
          <t>루꼴라</t>
        </is>
      </c>
      <c r="E95" s="163">
        <f>VLOOKUP(표1[[#This Row],[작물명]],$K$2:$L$5,2,FALSE)</f>
        <v/>
      </c>
      <c r="F95" s="164" t="n">
        <v>1000</v>
      </c>
      <c r="G95" s="164">
        <f>표1[[#This Row],[단가]]*표1[[#This Row],[주문수량(g)]]</f>
        <v/>
      </c>
      <c r="H95" s="162" t="n">
        <v>46073</v>
      </c>
      <c r="I95" s="39" t="n"/>
    </row>
    <row r="96" ht="16.5" customHeight="1" s="141">
      <c r="A96" s="28">
        <f>IF(B98&lt;&gt;"",ROW()-1,"")</f>
        <v/>
      </c>
      <c r="B96" s="162" t="n">
        <v>46073</v>
      </c>
      <c r="C96" s="28" t="inlineStr">
        <is>
          <t>까미노</t>
        </is>
      </c>
      <c r="D96" s="28" t="inlineStr">
        <is>
          <t>루꼴라</t>
        </is>
      </c>
      <c r="E96" s="163">
        <f>VLOOKUP(표1[[#This Row],[작물명]],$K$2:$L$5,2,FALSE)</f>
        <v/>
      </c>
      <c r="F96" s="164" t="n">
        <v>300</v>
      </c>
      <c r="G96" s="164">
        <f>표1[[#This Row],[단가]]*표1[[#This Row],[주문수량(g)]]</f>
        <v/>
      </c>
      <c r="H96" s="162" t="n">
        <v>46073</v>
      </c>
      <c r="I96" s="39" t="n"/>
    </row>
    <row r="97" ht="16.5" customHeight="1" s="141">
      <c r="A97" s="28">
        <f>IF(B99&lt;&gt;"",ROW()-1,"")</f>
        <v/>
      </c>
      <c r="B97" s="162" t="n">
        <v>46073</v>
      </c>
      <c r="C97" s="28" t="inlineStr">
        <is>
          <t>화수브루어리</t>
        </is>
      </c>
      <c r="D97" s="28" t="inlineStr">
        <is>
          <t>루꼴라</t>
        </is>
      </c>
      <c r="E97" s="163">
        <f>VLOOKUP(표1[[#This Row],[작물명]],$K$2:$L$5,2,FALSE)</f>
        <v/>
      </c>
      <c r="F97" s="164" t="n">
        <v>400</v>
      </c>
      <c r="G97" s="164">
        <f>표1[[#This Row],[단가]]*표1[[#This Row],[주문수량(g)]]</f>
        <v/>
      </c>
      <c r="H97" s="162" t="n">
        <v>46074</v>
      </c>
      <c r="I97" s="39" t="n"/>
    </row>
    <row r="98" ht="16.5" customHeight="1" s="141">
      <c r="A98" s="28">
        <f>IF(B100&lt;&gt;"",ROW()-1,"")</f>
        <v/>
      </c>
      <c r="B98" s="162" t="n">
        <v>46073</v>
      </c>
      <c r="C98" s="28" t="inlineStr">
        <is>
          <t>온터</t>
        </is>
      </c>
      <c r="D98" s="28" t="inlineStr">
        <is>
          <t>딸기</t>
        </is>
      </c>
      <c r="E98" s="163">
        <f>VLOOKUP(표1[[#This Row],[작물명]],$K$2:$L$5,2,FALSE)</f>
        <v/>
      </c>
      <c r="F98" s="164" t="n">
        <v>10</v>
      </c>
      <c r="G98" s="164">
        <f>표1[[#This Row],[단가]]*표1[[#This Row],[주문수량(g)]]</f>
        <v/>
      </c>
      <c r="H98" s="162" t="n">
        <v>46073</v>
      </c>
      <c r="I98" s="39" t="inlineStr">
        <is>
          <t>중과</t>
        </is>
      </c>
    </row>
    <row r="99" ht="16.5" customHeight="1" s="141">
      <c r="A99" s="28">
        <f>IF(B101&lt;&gt;"",ROW()-1,"")</f>
        <v/>
      </c>
      <c r="B99" s="162" t="n">
        <v>46073</v>
      </c>
      <c r="C99" s="28" t="inlineStr">
        <is>
          <t>온터</t>
        </is>
      </c>
      <c r="D99" s="28" t="inlineStr">
        <is>
          <t>딸기</t>
        </is>
      </c>
      <c r="E99" s="163">
        <f>VLOOKUP(표1[[#This Row],[작물명]],$K$2:$L$5,2,FALSE)</f>
        <v/>
      </c>
      <c r="F99" s="164" t="n">
        <v>5</v>
      </c>
      <c r="G99" s="164">
        <f>표1[[#This Row],[단가]]*표1[[#This Row],[주문수량(g)]]</f>
        <v/>
      </c>
      <c r="H99" s="162" t="n">
        <v>46073</v>
      </c>
      <c r="I99" s="39" t="inlineStr">
        <is>
          <t>소과</t>
        </is>
      </c>
    </row>
    <row r="100" ht="16.5" customHeight="1" s="141">
      <c r="A100" s="28">
        <f>IF(B102&lt;&gt;"",ROW()-1,"")</f>
        <v/>
      </c>
      <c r="B100" s="162" t="n">
        <v>46076</v>
      </c>
      <c r="C100" s="28" t="inlineStr">
        <is>
          <t>요요네</t>
        </is>
      </c>
      <c r="D100" s="28" t="inlineStr">
        <is>
          <t>루꼴라</t>
        </is>
      </c>
      <c r="E100" s="163">
        <f>VLOOKUP(표1[[#This Row],[작물명]],$K$2:$L$5,2,FALSE)</f>
        <v/>
      </c>
      <c r="F100" s="164" t="n">
        <v>300</v>
      </c>
      <c r="G100" s="164">
        <f>표1[[#This Row],[단가]]*표1[[#This Row],[주문수량(g)]]</f>
        <v/>
      </c>
      <c r="H100" s="162" t="n">
        <v>46077</v>
      </c>
      <c r="I100" s="39" t="n"/>
    </row>
    <row r="101" ht="16.5" customHeight="1" s="141">
      <c r="A101" s="28">
        <f>IF(B103&lt;&gt;"",ROW()-1,"")</f>
        <v/>
      </c>
      <c r="B101" s="162" t="n">
        <v>46077</v>
      </c>
      <c r="C101" s="28" t="inlineStr">
        <is>
          <t>온터</t>
        </is>
      </c>
      <c r="D101" s="28" t="inlineStr">
        <is>
          <t>엽채류</t>
        </is>
      </c>
      <c r="E101" s="163">
        <f>VLOOKUP(표1[[#This Row],[작물명]],$K$2:$L$5,2,FALSE)</f>
        <v/>
      </c>
      <c r="F101" s="164" t="n">
        <v>14</v>
      </c>
      <c r="G101" s="164">
        <f>표1[[#This Row],[단가]]*표1[[#This Row],[주문수량(g)]]</f>
        <v/>
      </c>
      <c r="H101" s="162" t="n">
        <v>46077</v>
      </c>
      <c r="I101" s="39" t="n"/>
    </row>
    <row r="102" ht="16.5" customHeight="1" s="141">
      <c r="A102" s="28">
        <f>IF(B104&lt;&gt;"",ROW()-1,"")</f>
        <v/>
      </c>
      <c r="B102" s="162" t="n">
        <v>46077</v>
      </c>
      <c r="C102" s="28" t="inlineStr">
        <is>
          <t>온터</t>
        </is>
      </c>
      <c r="D102" s="28" t="inlineStr">
        <is>
          <t>루꼴라</t>
        </is>
      </c>
      <c r="E102" s="163">
        <f>VLOOKUP(표1[[#This Row],[작물명]],$K$2:$L$5,2,FALSE)</f>
        <v/>
      </c>
      <c r="F102" s="164" t="n">
        <v>4</v>
      </c>
      <c r="G102" s="164">
        <f>표1[[#This Row],[단가]]*표1[[#This Row],[주문수량(g)]]</f>
        <v/>
      </c>
      <c r="H102" s="162" t="n">
        <v>46077</v>
      </c>
      <c r="I102" s="39" t="n"/>
    </row>
    <row r="103" ht="16.5" customHeight="1" s="141">
      <c r="A103" s="28">
        <f>IF(B105&lt;&gt;"",ROW()-1,"")</f>
        <v/>
      </c>
      <c r="B103" s="162" t="n">
        <v>46079</v>
      </c>
      <c r="C103" s="28" t="inlineStr">
        <is>
          <t>까미노</t>
        </is>
      </c>
      <c r="D103" s="28" t="inlineStr">
        <is>
          <t>루꼴라</t>
        </is>
      </c>
      <c r="E103" s="163">
        <f>VLOOKUP(표1[[#This Row],[작물명]],$K$2:$L$5,2,FALSE)</f>
        <v/>
      </c>
      <c r="F103" s="164" t="n">
        <v>700</v>
      </c>
      <c r="G103" s="164">
        <f>표1[[#This Row],[단가]]*표1[[#This Row],[주문수량(g)]]</f>
        <v/>
      </c>
      <c r="H103" s="162" t="n">
        <v>46079</v>
      </c>
      <c r="I103" s="39" t="n"/>
    </row>
    <row r="104" ht="16.5" customHeight="1" s="141">
      <c r="A104" s="28">
        <f>IF(B106&lt;&gt;"",ROW()-1,"")</f>
        <v/>
      </c>
      <c r="B104" s="162" t="n">
        <v>46084</v>
      </c>
      <c r="C104" s="28" t="inlineStr">
        <is>
          <t>까미노</t>
        </is>
      </c>
      <c r="D104" s="28" t="inlineStr">
        <is>
          <t>루꼴라</t>
        </is>
      </c>
      <c r="E104" s="163">
        <f>VLOOKUP(표1[[#This Row],[작물명]],$K$2:$L$5,2,FALSE)</f>
        <v/>
      </c>
      <c r="F104" s="164" t="n">
        <v>500</v>
      </c>
      <c r="G104" s="164">
        <f>표1[[#This Row],[단가]]*표1[[#This Row],[주문수량(g)]]</f>
        <v/>
      </c>
      <c r="H104" s="162" t="n">
        <v>46085</v>
      </c>
      <c r="I104" s="39" t="n"/>
    </row>
    <row r="105" ht="16.5" customHeight="1" s="141">
      <c r="A105" s="28">
        <f>IF(B107&lt;&gt;"",ROW()-1,"")</f>
        <v/>
      </c>
      <c r="B105" s="162" t="n">
        <v>46087</v>
      </c>
      <c r="C105" s="28" t="inlineStr">
        <is>
          <t>크을농</t>
        </is>
      </c>
      <c r="D105" s="28" t="inlineStr">
        <is>
          <t>루꼴라</t>
        </is>
      </c>
      <c r="E105" s="163">
        <f>VLOOKUP(표1[[#This Row],[작물명]],$K$2:$L$5,2,FALSE)</f>
        <v/>
      </c>
      <c r="F105" s="164" t="n">
        <v>1000</v>
      </c>
      <c r="G105" s="164">
        <f>표1[[#This Row],[단가]]*표1[[#This Row],[주문수량(g)]]</f>
        <v/>
      </c>
      <c r="H105" s="162" t="n">
        <v>46087</v>
      </c>
      <c r="I105" s="39" t="n"/>
    </row>
    <row r="106" ht="16.5" customHeight="1" s="141">
      <c r="A106" s="28">
        <f>IF(B108&lt;&gt;"",ROW()-1,"")</f>
        <v/>
      </c>
      <c r="B106" s="162" t="n">
        <v>46087</v>
      </c>
      <c r="C106" s="28" t="inlineStr">
        <is>
          <t>미즐 카페엠</t>
        </is>
      </c>
      <c r="D106" s="28" t="inlineStr">
        <is>
          <t>루꼴라</t>
        </is>
      </c>
      <c r="E106" s="163">
        <f>VLOOKUP(표1[[#This Row],[작물명]],$K$2:$L$5,2,FALSE)</f>
        <v/>
      </c>
      <c r="F106" s="164" t="n">
        <v>300</v>
      </c>
      <c r="G106" s="164">
        <f>표1[[#This Row],[단가]]*표1[[#This Row],[주문수량(g)]]</f>
        <v/>
      </c>
      <c r="H106" s="162" t="n">
        <v>46087</v>
      </c>
      <c r="I106" s="39" t="n"/>
    </row>
    <row r="107" ht="16.5" customHeight="1" s="141">
      <c r="A107" s="28">
        <f>IF(B109&lt;&gt;"",ROW()-1,"")</f>
        <v/>
      </c>
      <c r="B107" s="162" t="n">
        <v>46087</v>
      </c>
      <c r="C107" s="28" t="inlineStr">
        <is>
          <t>미즐 카페엠</t>
        </is>
      </c>
      <c r="D107" s="28" t="inlineStr">
        <is>
          <t>엽채류</t>
        </is>
      </c>
      <c r="E107" s="163">
        <f>VLOOKUP(표1[[#This Row],[작물명]],$K$2:$L$5,2,FALSE)</f>
        <v/>
      </c>
      <c r="F107" s="164" t="n">
        <v>200</v>
      </c>
      <c r="G107" s="164">
        <f>표1[[#This Row],[단가]]*표1[[#This Row],[주문수량(g)]]</f>
        <v/>
      </c>
      <c r="H107" s="162" t="n">
        <v>46087</v>
      </c>
      <c r="I107" s="39" t="n"/>
    </row>
    <row r="108" ht="16.5" customHeight="1" s="141">
      <c r="A108" s="28">
        <f>IF(B110&lt;&gt;"",ROW()-1,"")</f>
        <v/>
      </c>
      <c r="B108" s="162" t="n">
        <v>46090</v>
      </c>
      <c r="C108" s="28" t="inlineStr">
        <is>
          <t>온터</t>
        </is>
      </c>
      <c r="D108" s="28" t="inlineStr">
        <is>
          <t>엽채류</t>
        </is>
      </c>
      <c r="E108" s="163">
        <f>VLOOKUP(표1[[#This Row],[작물명]],$K$2:$L$5,2,FALSE)</f>
        <v/>
      </c>
      <c r="F108" s="164" t="n">
        <v>24</v>
      </c>
      <c r="G108" s="164">
        <f>표1[[#This Row],[단가]]*표1[[#This Row],[주문수량(g)]]</f>
        <v/>
      </c>
      <c r="H108" s="162" t="n">
        <v>46090</v>
      </c>
      <c r="I108" s="39" t="n"/>
    </row>
    <row r="109" ht="16.5" customHeight="1" s="141">
      <c r="A109" s="28">
        <f>IF(B111&lt;&gt;"",ROW()-1,"")</f>
        <v/>
      </c>
      <c r="B109" s="162" t="n">
        <v>46090</v>
      </c>
      <c r="C109" s="28" t="inlineStr">
        <is>
          <t>온터</t>
        </is>
      </c>
      <c r="D109" s="28" t="inlineStr">
        <is>
          <t>루꼴라</t>
        </is>
      </c>
      <c r="E109" s="163">
        <f>VLOOKUP(표1[[#This Row],[작물명]],$K$2:$L$5,2,FALSE)</f>
        <v/>
      </c>
      <c r="F109" s="164" t="n">
        <v>6</v>
      </c>
      <c r="G109" s="164">
        <f>표1[[#This Row],[단가]]*표1[[#This Row],[주문수량(g)]]</f>
        <v/>
      </c>
      <c r="H109" s="162" t="n">
        <v>46090</v>
      </c>
      <c r="I109" s="39" t="n"/>
    </row>
    <row r="110" ht="16.5" customHeight="1" s="141">
      <c r="A110" s="28">
        <f>IF(B112&lt;&gt;"",ROW()-1,"")</f>
        <v/>
      </c>
      <c r="B110" s="162" t="n">
        <v>46091</v>
      </c>
      <c r="C110" s="28" t="inlineStr">
        <is>
          <t>화수브루어리</t>
        </is>
      </c>
      <c r="D110" s="28" t="inlineStr">
        <is>
          <t>루꼴라</t>
        </is>
      </c>
      <c r="E110" s="163">
        <f>VLOOKUP(표1[[#This Row],[작물명]],$K$2:$L$5,2,FALSE)</f>
        <v/>
      </c>
      <c r="F110" s="164" t="n">
        <v>300</v>
      </c>
      <c r="G110" s="164">
        <f>표1[[#This Row],[단가]]*표1[[#This Row],[주문수량(g)]]</f>
        <v/>
      </c>
      <c r="H110" s="162" t="n">
        <v>46091</v>
      </c>
      <c r="I110" s="39" t="n"/>
    </row>
    <row r="111" ht="16.5" customHeight="1" s="141">
      <c r="A111" s="28">
        <f>IF(B113&lt;&gt;"",ROW()-1,"")</f>
        <v/>
      </c>
      <c r="B111" s="162" t="n">
        <v>46091</v>
      </c>
      <c r="C111" s="28" t="inlineStr">
        <is>
          <t>까미노</t>
        </is>
      </c>
      <c r="D111" s="28" t="inlineStr">
        <is>
          <t>루꼴라</t>
        </is>
      </c>
      <c r="E111" s="163">
        <f>VLOOKUP(표1[[#This Row],[작물명]],$K$2:$L$5,2,FALSE)</f>
        <v/>
      </c>
      <c r="F111" s="164" t="n">
        <v>500</v>
      </c>
      <c r="G111" s="164">
        <f>표1[[#This Row],[단가]]*표1[[#This Row],[주문수량(g)]]</f>
        <v/>
      </c>
      <c r="H111" s="162" t="n">
        <v>46091</v>
      </c>
      <c r="I111" s="39" t="n"/>
    </row>
    <row r="112" ht="16.5" customHeight="1" s="141">
      <c r="A112" s="28">
        <f>IF(B114&lt;&gt;"",ROW()-1,"")</f>
        <v/>
      </c>
      <c r="B112" s="162" t="n">
        <v>46094</v>
      </c>
      <c r="C112" s="28" t="inlineStr">
        <is>
          <t>까미노</t>
        </is>
      </c>
      <c r="D112" s="28" t="inlineStr">
        <is>
          <t>루꼴라</t>
        </is>
      </c>
      <c r="E112" s="163">
        <f>VLOOKUP(표1[[#This Row],[작물명]],$K$2:$L$5,2,FALSE)</f>
        <v/>
      </c>
      <c r="F112" s="164" t="n">
        <v>700</v>
      </c>
      <c r="G112" s="164">
        <f>표1[[#This Row],[단가]]*표1[[#This Row],[주문수량(g)]]</f>
        <v/>
      </c>
      <c r="H112" s="162" t="n">
        <v>46094</v>
      </c>
      <c r="I112" s="39" t="n"/>
    </row>
    <row r="113" ht="16.5" customHeight="1" s="141">
      <c r="A113" s="28">
        <f>IF(B115&lt;&gt;"",ROW()-1,"")</f>
        <v/>
      </c>
      <c r="B113" s="162" t="n">
        <v>46094</v>
      </c>
      <c r="C113" s="28" t="inlineStr">
        <is>
          <t>재간정</t>
        </is>
      </c>
      <c r="D113" s="28" t="inlineStr">
        <is>
          <t>애플민트</t>
        </is>
      </c>
      <c r="E113" s="163">
        <f>VLOOKUP(표1[[#This Row],[작물명]],$K$2:$L$5,2,FALSE)</f>
        <v/>
      </c>
      <c r="F113" s="164" t="n">
        <v>400</v>
      </c>
      <c r="G113" s="164">
        <f>표1[[#This Row],[단가]]*표1[[#This Row],[주문수량(g)]]</f>
        <v/>
      </c>
      <c r="H113" s="162" t="n">
        <v>46094</v>
      </c>
      <c r="I113" s="39" t="n"/>
    </row>
    <row r="114" ht="16.5" customHeight="1" s="141">
      <c r="A114" s="28">
        <f>IF(B116&lt;&gt;"",ROW()-1,"")</f>
        <v/>
      </c>
      <c r="B114" s="162" t="n">
        <v>46094</v>
      </c>
      <c r="C114" s="28" t="inlineStr">
        <is>
          <t>미즐 카페엠</t>
        </is>
      </c>
      <c r="D114" s="28" t="inlineStr">
        <is>
          <t>루꼴라</t>
        </is>
      </c>
      <c r="E114" s="163">
        <f>VLOOKUP(표1[[#This Row],[작물명]],$K$2:$L$5,2,FALSE)</f>
        <v/>
      </c>
      <c r="F114" s="164" t="n">
        <v>300</v>
      </c>
      <c r="G114" s="164">
        <f>표1[[#This Row],[단가]]*표1[[#This Row],[주문수량(g)]]</f>
        <v/>
      </c>
      <c r="H114" s="162" t="n">
        <v>46094</v>
      </c>
      <c r="I114" s="39" t="n"/>
    </row>
    <row r="115" ht="16.5" customHeight="1" s="141">
      <c r="A115" s="28">
        <f>IF(B117&lt;&gt;"",ROW()-1,"")</f>
        <v/>
      </c>
      <c r="B115" s="162" t="n">
        <v>46094</v>
      </c>
      <c r="C115" s="28" t="inlineStr">
        <is>
          <t>미즐 카페엠</t>
        </is>
      </c>
      <c r="D115" s="28" t="inlineStr">
        <is>
          <t>엽채류</t>
        </is>
      </c>
      <c r="E115" s="163">
        <f>VLOOKUP(표1[[#This Row],[작물명]],$K$2:$L$5,2,FALSE)</f>
        <v/>
      </c>
      <c r="F115" s="164" t="n">
        <v>200</v>
      </c>
      <c r="G115" s="164">
        <f>표1[[#This Row],[단가]]*표1[[#This Row],[주문수량(g)]]</f>
        <v/>
      </c>
      <c r="H115" s="162" t="n">
        <v>46094</v>
      </c>
      <c r="I115" s="39" t="n"/>
    </row>
    <row r="116" ht="16.5" customHeight="1" s="141">
      <c r="A116" s="28">
        <f>IF(B118&lt;&gt;"",ROW()-1,"")</f>
        <v/>
      </c>
      <c r="B116" s="162" t="n">
        <v>46098</v>
      </c>
      <c r="C116" s="28" t="inlineStr">
        <is>
          <t>419국수김밥</t>
        </is>
      </c>
      <c r="D116" s="28" t="inlineStr">
        <is>
          <t>루꼴라</t>
        </is>
      </c>
      <c r="E116" s="163">
        <f>VLOOKUP(표1[[#This Row],[작물명]],$K$2:$L$5,2,FALSE)</f>
        <v/>
      </c>
      <c r="F116" s="164" t="n">
        <v>300</v>
      </c>
      <c r="G116" s="164">
        <f>표1[[#This Row],[단가]]*표1[[#This Row],[주문수량(g)]]</f>
        <v/>
      </c>
      <c r="H116" s="162" t="n">
        <v>46098</v>
      </c>
      <c r="I116" s="39" t="n"/>
    </row>
    <row r="117" ht="16.5" customHeight="1" s="141">
      <c r="A117" s="28">
        <f>IF(B119&lt;&gt;"",ROW()-1,"")</f>
        <v/>
      </c>
      <c r="B117" s="162" t="n">
        <v>46098</v>
      </c>
      <c r="C117" s="28" t="inlineStr">
        <is>
          <t>크을농</t>
        </is>
      </c>
      <c r="D117" s="28" t="inlineStr">
        <is>
          <t>루꼴라</t>
        </is>
      </c>
      <c r="E117" s="163">
        <f>VLOOKUP(표1[[#This Row],[작물명]],$K$2:$L$5,2,FALSE)</f>
        <v/>
      </c>
      <c r="F117" s="164" t="n">
        <v>1000</v>
      </c>
      <c r="G117" s="164">
        <f>표1[[#This Row],[단가]]*표1[[#This Row],[주문수량(g)]]</f>
        <v/>
      </c>
      <c r="H117" s="162" t="n">
        <v>46099</v>
      </c>
      <c r="I117" s="39" t="n"/>
    </row>
    <row r="118" ht="16.5" customHeight="1" s="141">
      <c r="A118" s="28">
        <f>IF(B120&lt;&gt;"",ROW()-1,"")</f>
        <v/>
      </c>
      <c r="B118" s="162" t="n">
        <v>46099</v>
      </c>
      <c r="C118" s="28" t="inlineStr">
        <is>
          <t>요요네</t>
        </is>
      </c>
      <c r="D118" s="28" t="inlineStr">
        <is>
          <t>루꼴라</t>
        </is>
      </c>
      <c r="E118" s="163">
        <f>VLOOKUP(표1[[#This Row],[작물명]],$K$2:$L$5,2,FALSE)</f>
        <v/>
      </c>
      <c r="F118" s="164" t="n">
        <v>300</v>
      </c>
      <c r="G118" s="164">
        <f>표1[[#This Row],[단가]]*표1[[#This Row],[주문수량(g)]]</f>
        <v/>
      </c>
      <c r="H118" s="162" t="n">
        <v>46099</v>
      </c>
      <c r="I118" s="39" t="n"/>
    </row>
    <row r="119" ht="16.5" customHeight="1" s="141">
      <c r="A119" s="21" t="n">
        <v>120</v>
      </c>
      <c r="B119" s="155" t="n">
        <v>46105</v>
      </c>
      <c r="C119" s="28" t="inlineStr">
        <is>
          <t>화수브루어리</t>
        </is>
      </c>
      <c r="D119" s="28" t="inlineStr">
        <is>
          <t>루꼴라</t>
        </is>
      </c>
      <c r="E119" s="163">
        <f>VLOOKUP(표1[[#This Row],[작물명]],$K$2:$L$5,2,FALSE)</f>
        <v/>
      </c>
      <c r="F119" s="164" t="n">
        <v>300</v>
      </c>
      <c r="G119" s="164">
        <f>표1[[#This Row],[단가]]*표1[[#This Row],[주문수량(g)]]</f>
        <v/>
      </c>
    </row>
    <row r="120" ht="16.5" customHeight="1" s="141">
      <c r="A120" s="21" t="n">
        <v>121</v>
      </c>
      <c r="B120" s="155" t="n">
        <v>46105</v>
      </c>
      <c r="C120" s="28" t="inlineStr">
        <is>
          <t>요요네</t>
        </is>
      </c>
      <c r="D120" s="28" t="inlineStr">
        <is>
          <t>루꼴라</t>
        </is>
      </c>
      <c r="E120" s="163">
        <f>VLOOKUP(표1[[#This Row],[작물명]],$K$2:$L$5,2,FALSE)</f>
        <v/>
      </c>
      <c r="F120" s="164" t="n">
        <v>300</v>
      </c>
      <c r="G120" s="164">
        <f>표1[[#This Row],[단가]]*표1[[#This Row],[주문수량(g)]]</f>
        <v/>
      </c>
    </row>
    <row r="121" ht="16.5" customHeight="1" s="141">
      <c r="A121" s="21" t="n">
        <v>122</v>
      </c>
      <c r="B121" s="155" t="n">
        <v>46105</v>
      </c>
      <c r="C121" s="28" t="inlineStr">
        <is>
          <t>까미노</t>
        </is>
      </c>
      <c r="D121" s="28" t="inlineStr">
        <is>
          <t>루꼴라</t>
        </is>
      </c>
      <c r="E121" s="163">
        <f>VLOOKUP(표1[[#This Row],[작물명]],$K$2:$L$5,2,FALSE)</f>
        <v/>
      </c>
      <c r="F121" s="164" t="n">
        <v>600</v>
      </c>
      <c r="G121" s="164">
        <f>표1[[#This Row],[단가]]*표1[[#This Row],[주문수량(g)]]</f>
        <v/>
      </c>
    </row>
    <row r="122" ht="16.5" customHeight="1" s="141">
      <c r="A122" s="21" t="n">
        <v>123</v>
      </c>
      <c r="B122" s="155" t="n">
        <v>46108</v>
      </c>
      <c r="C122" s="28" t="inlineStr">
        <is>
          <t>까미노</t>
        </is>
      </c>
      <c r="D122" s="28" t="inlineStr">
        <is>
          <t>루꼴라</t>
        </is>
      </c>
      <c r="E122" s="163">
        <f>VLOOKUP(표1[[#This Row],[작물명]],$K$2:$L$5,2,FALSE)</f>
        <v/>
      </c>
      <c r="F122" s="164" t="n">
        <v>800</v>
      </c>
      <c r="G122" s="164">
        <f>표1[[#This Row],[단가]]*표1[[#This Row],[주문수량(g)]]</f>
        <v/>
      </c>
    </row>
    <row r="123" ht="16.5" customHeight="1" s="141">
      <c r="A123" s="21" t="n">
        <v>124</v>
      </c>
      <c r="B123" s="155" t="n">
        <v>46108</v>
      </c>
      <c r="C123" s="28" t="inlineStr">
        <is>
          <t>크을농</t>
        </is>
      </c>
      <c r="D123" s="28" t="inlineStr">
        <is>
          <t>루꼴라</t>
        </is>
      </c>
      <c r="E123" s="163">
        <f>VLOOKUP(표1[[#This Row],[작물명]],$K$2:$L$5,2,FALSE)</f>
        <v/>
      </c>
      <c r="F123" s="164" t="n">
        <v>1000</v>
      </c>
      <c r="G123" s="164">
        <f>표1[[#This Row],[단가]]*표1[[#This Row],[주문수량(g)]]</f>
        <v/>
      </c>
    </row>
    <row r="124" ht="16.5" customHeight="1" s="141">
      <c r="A124" s="21" t="n">
        <v>125</v>
      </c>
      <c r="B124" s="155" t="n">
        <v>46108</v>
      </c>
      <c r="C124" s="28" t="inlineStr">
        <is>
          <t>419국수김밥</t>
        </is>
      </c>
      <c r="D124" s="28" t="inlineStr">
        <is>
          <t>루꼴라</t>
        </is>
      </c>
      <c r="E124" s="163">
        <f>VLOOKUP(표1[[#This Row],[작물명]],$K$2:$L$5,2,FALSE)</f>
        <v/>
      </c>
      <c r="F124" s="164" t="n">
        <v>600</v>
      </c>
      <c r="G124" s="164">
        <f>표1[[#This Row],[단가]]*표1[[#This Row],[주문수량(g)]]</f>
        <v/>
      </c>
    </row>
    <row r="125" ht="16.5" customHeight="1" s="141">
      <c r="A125" s="21" t="n">
        <v>126</v>
      </c>
      <c r="B125" s="155" t="n">
        <v>46092</v>
      </c>
      <c r="C125" s="28" t="inlineStr">
        <is>
          <t>요요네</t>
        </is>
      </c>
      <c r="D125" s="28" t="inlineStr">
        <is>
          <t>루꼴라</t>
        </is>
      </c>
      <c r="E125" s="163">
        <f>VLOOKUP(표1[[#This Row],[작물명]],$K$2:$L$5,2,FALSE)</f>
        <v/>
      </c>
      <c r="F125" s="164" t="n">
        <v>300</v>
      </c>
      <c r="G125" s="164">
        <f>표1[[#This Row],[단가]]*표1[[#This Row],[주문수량(g)]]</f>
        <v/>
      </c>
    </row>
    <row r="126" ht="16.5" customHeight="1" s="141">
      <c r="A126" s="21" t="n">
        <v>127</v>
      </c>
      <c r="B126" s="155" t="n">
        <v>46122</v>
      </c>
      <c r="C126" s="28" t="inlineStr">
        <is>
          <t>요요네</t>
        </is>
      </c>
      <c r="D126" s="28" t="inlineStr">
        <is>
          <t>루꼴라</t>
        </is>
      </c>
      <c r="E126" s="163">
        <f>VLOOKUP(표1[[#This Row],[작물명]],$K$2:$L$5,2,FALSE)</f>
        <v/>
      </c>
      <c r="F126" s="164" t="n">
        <v>300</v>
      </c>
      <c r="G126" s="164">
        <f>표1[[#This Row],[단가]]*표1[[#This Row],[주문수량(g)]]</f>
        <v/>
      </c>
    </row>
    <row r="127" ht="16.5" customHeight="1" s="141">
      <c r="A127" s="21" t="n">
        <v>128</v>
      </c>
      <c r="B127" s="155" t="n">
        <v>46122</v>
      </c>
      <c r="C127" s="28" t="inlineStr">
        <is>
          <t>까미노</t>
        </is>
      </c>
      <c r="D127" s="28" t="inlineStr">
        <is>
          <t>루꼴라</t>
        </is>
      </c>
      <c r="E127" s="163">
        <f>VLOOKUP(표1[[#This Row],[작물명]],$K$2:$L$5,2,FALSE)</f>
        <v/>
      </c>
      <c r="F127" s="164" t="n">
        <v>800</v>
      </c>
      <c r="G127" s="164">
        <f>표1[[#This Row],[단가]]*표1[[#This Row],[주문수량(g)]]</f>
        <v/>
      </c>
    </row>
    <row r="128" ht="16.5" customHeight="1" s="141">
      <c r="A128" s="21" t="n">
        <v>129</v>
      </c>
      <c r="B128" s="155" t="n">
        <v>46122</v>
      </c>
      <c r="C128" s="28" t="inlineStr">
        <is>
          <t>재간정</t>
        </is>
      </c>
      <c r="D128" s="28" t="inlineStr">
        <is>
          <t>애플민트</t>
        </is>
      </c>
      <c r="E128" s="163">
        <f>VLOOKUP(표1[[#This Row],[작물명]],$K$2:$L$5,2,FALSE)</f>
        <v/>
      </c>
      <c r="F128" s="164" t="n">
        <v>400</v>
      </c>
      <c r="G128" s="164">
        <f>표1[[#This Row],[단가]]*표1[[#This Row],[주문수량(g)]]</f>
        <v/>
      </c>
    </row>
    <row r="129" ht="16.5" customHeight="1" s="141">
      <c r="A129" s="21" t="n">
        <v>130</v>
      </c>
      <c r="B129" s="155" t="n">
        <v>46126</v>
      </c>
      <c r="C129" s="28" t="inlineStr">
        <is>
          <t>419국수김밥</t>
        </is>
      </c>
      <c r="D129" s="28" t="inlineStr">
        <is>
          <t>루꼴라</t>
        </is>
      </c>
      <c r="E129" s="163">
        <f>VLOOKUP(표1[[#This Row],[작물명]],$K$2:$L$5,2,FALSE)</f>
        <v/>
      </c>
      <c r="F129" s="164" t="n">
        <v>600</v>
      </c>
      <c r="G129" s="164">
        <f>표1[[#This Row],[단가]]*표1[[#This Row],[주문수량(g)]]</f>
        <v/>
      </c>
    </row>
    <row r="130" ht="16.5" customHeight="1" s="141">
      <c r="A130" s="21" t="n">
        <v>131</v>
      </c>
      <c r="B130" s="155" t="n">
        <v>46126</v>
      </c>
      <c r="C130" s="28" t="inlineStr">
        <is>
          <t>요요네</t>
        </is>
      </c>
      <c r="D130" s="28" t="inlineStr">
        <is>
          <t>루꼴라</t>
        </is>
      </c>
      <c r="E130" s="163">
        <f>VLOOKUP(표1[[#This Row],[작물명]],$K$2:$L$5,2,FALSE)</f>
        <v/>
      </c>
      <c r="F130" s="164" t="n">
        <v>300</v>
      </c>
      <c r="G130" s="164">
        <f>표1[[#This Row],[단가]]*표1[[#This Row],[주문수량(g)]]</f>
        <v/>
      </c>
    </row>
    <row r="131" ht="16.5" customHeight="1" s="141">
      <c r="A131" s="21" t="n">
        <v>132</v>
      </c>
      <c r="B131" s="155" t="n">
        <v>46126</v>
      </c>
      <c r="C131" s="28" t="inlineStr">
        <is>
          <t>미즐 카페엠</t>
        </is>
      </c>
      <c r="D131" s="28" t="inlineStr">
        <is>
          <t>엽채류</t>
        </is>
      </c>
      <c r="E131" s="163">
        <f>VLOOKUP(표1[[#This Row],[작물명]],$K$2:$L$5,2,FALSE)</f>
        <v/>
      </c>
      <c r="F131" s="164" t="n">
        <v>200</v>
      </c>
      <c r="G131" s="164">
        <f>표1[[#This Row],[단가]]*표1[[#This Row],[주문수량(g)]]</f>
        <v/>
      </c>
      <c r="I131" s="26" t="inlineStr">
        <is>
          <t>이자트릭스</t>
        </is>
      </c>
    </row>
    <row r="132" ht="16.5" customHeight="1" s="141">
      <c r="A132" s="21" t="n">
        <v>133</v>
      </c>
      <c r="B132" s="155" t="n">
        <v>46126</v>
      </c>
      <c r="C132" s="28" t="inlineStr">
        <is>
          <t>크을농</t>
        </is>
      </c>
      <c r="D132" s="28" t="inlineStr">
        <is>
          <t>루꼴라</t>
        </is>
      </c>
      <c r="E132" s="163">
        <f>VLOOKUP(표1[[#This Row],[작물명]],$K$2:$L$5,2,FALSE)</f>
        <v/>
      </c>
      <c r="F132" s="164" t="n">
        <v>1000</v>
      </c>
      <c r="G132" s="164">
        <f>표1[[#This Row],[단가]]*표1[[#This Row],[주문수량(g)]]</f>
        <v/>
      </c>
    </row>
    <row r="133" ht="16.5" customHeight="1" s="141">
      <c r="A133" s="21" t="n">
        <v>134</v>
      </c>
      <c r="B133" s="155" t="n">
        <v>46129</v>
      </c>
      <c r="C133" s="28" t="inlineStr">
        <is>
          <t>까미노</t>
        </is>
      </c>
      <c r="D133" s="28" t="inlineStr">
        <is>
          <t>루꼴라</t>
        </is>
      </c>
      <c r="E133" s="163">
        <f>VLOOKUP(표1[[#This Row],[작물명]],$K$2:$L$5,2,FALSE)</f>
        <v/>
      </c>
      <c r="F133" s="164" t="n">
        <v>800</v>
      </c>
      <c r="G133" s="164">
        <f>표1[[#This Row],[단가]]*표1[[#This Row],[주문수량(g)]]</f>
        <v/>
      </c>
    </row>
    <row r="134" ht="16.5" customHeight="1" s="141">
      <c r="A134" s="21" t="n">
        <v>135</v>
      </c>
      <c r="B134" s="155" t="n">
        <v>46133</v>
      </c>
      <c r="C134" s="28" t="inlineStr">
        <is>
          <t>크을농</t>
        </is>
      </c>
      <c r="D134" s="28" t="inlineStr">
        <is>
          <t>루꼴라</t>
        </is>
      </c>
      <c r="E134" s="163">
        <f>VLOOKUP(표1[[#This Row],[작물명]],$K$2:$L$5,2,FALSE)</f>
        <v/>
      </c>
      <c r="F134" s="164" t="n">
        <v>1000</v>
      </c>
      <c r="G134" s="164">
        <f>표1[[#This Row],[단가]]*표1[[#This Row],[주문수량(g)]]</f>
        <v/>
      </c>
    </row>
    <row r="135" ht="16.5" customHeight="1" s="141">
      <c r="A135" s="21" t="n">
        <v>136</v>
      </c>
      <c r="B135" s="155" t="n">
        <v>46133</v>
      </c>
      <c r="C135" s="28" t="inlineStr">
        <is>
          <t>요요네</t>
        </is>
      </c>
      <c r="D135" s="28" t="inlineStr">
        <is>
          <t>루꼴라</t>
        </is>
      </c>
      <c r="E135" s="163">
        <f>VLOOKUP(표1[[#This Row],[작물명]],$K$2:$L$5,2,FALSE)</f>
        <v/>
      </c>
      <c r="F135" s="164" t="n">
        <v>300</v>
      </c>
      <c r="G135" s="164">
        <f>표1[[#This Row],[단가]]*표1[[#This Row],[주문수량(g)]]</f>
        <v/>
      </c>
    </row>
    <row r="136" ht="16.5" customHeight="1" s="141">
      <c r="A136" s="21" t="n">
        <v>137</v>
      </c>
      <c r="B136" s="155" t="n">
        <v>46136</v>
      </c>
      <c r="C136" s="28" t="inlineStr">
        <is>
          <t>미즐 카페엠</t>
        </is>
      </c>
      <c r="D136" s="28" t="inlineStr">
        <is>
          <t>엽채류</t>
        </is>
      </c>
      <c r="E136" s="163">
        <f>VLOOKUP(표1[[#This Row],[작물명]],$K$2:$L$5,2,FALSE)</f>
        <v/>
      </c>
      <c r="F136" s="164" t="n">
        <v>100</v>
      </c>
      <c r="G136" s="164">
        <f>표1[[#This Row],[단가]]*표1[[#This Row],[주문수량(g)]]</f>
        <v/>
      </c>
      <c r="I136" s="26" t="inlineStr">
        <is>
          <t>이자트릭스</t>
        </is>
      </c>
    </row>
    <row r="137" ht="16.5" customHeight="1" s="141">
      <c r="A137" s="21" t="n">
        <v>138</v>
      </c>
      <c r="B137" s="155" t="n">
        <v>46136</v>
      </c>
      <c r="C137" s="28" t="inlineStr">
        <is>
          <t>미즐 카페엠</t>
        </is>
      </c>
      <c r="D137" s="28" t="inlineStr">
        <is>
          <t>루꼴라</t>
        </is>
      </c>
      <c r="E137" s="163">
        <f>VLOOKUP(표1[[#This Row],[작물명]],$K$2:$L$5,2,FALSE)</f>
        <v/>
      </c>
      <c r="F137" s="164" t="n">
        <v>200</v>
      </c>
      <c r="G137" s="164">
        <f>표1[[#This Row],[단가]]*표1[[#This Row],[주문수량(g)]]</f>
        <v/>
      </c>
    </row>
    <row r="138" ht="16.5" customHeight="1" s="141">
      <c r="A138" s="21" t="n">
        <v>139</v>
      </c>
      <c r="B138" s="155" t="n">
        <v>46136</v>
      </c>
      <c r="C138" s="28" t="inlineStr">
        <is>
          <t>화수브루어리</t>
        </is>
      </c>
      <c r="D138" s="28" t="inlineStr">
        <is>
          <t>루꼴라</t>
        </is>
      </c>
      <c r="E138" s="163">
        <f>VLOOKUP(표1[[#This Row],[작물명]],$K$2:$L$5,2,FALSE)</f>
        <v/>
      </c>
      <c r="F138" s="164" t="n">
        <v>300</v>
      </c>
      <c r="G138" s="164">
        <f>표1[[#This Row],[단가]]*표1[[#This Row],[주문수량(g)]]</f>
        <v/>
      </c>
    </row>
    <row r="139" ht="16.5" customHeight="1" s="141">
      <c r="A139" s="21" t="n">
        <v>140</v>
      </c>
      <c r="B139" s="155" t="n">
        <v>46136</v>
      </c>
      <c r="C139" s="28" t="inlineStr">
        <is>
          <t>까미노</t>
        </is>
      </c>
      <c r="D139" s="28" t="inlineStr">
        <is>
          <t>루꼴라</t>
        </is>
      </c>
      <c r="E139" s="163">
        <f>VLOOKUP(표1[[#This Row],[작물명]],$K$2:$L$5,2,FALSE)</f>
        <v/>
      </c>
      <c r="F139" s="164" t="n">
        <v>700</v>
      </c>
      <c r="G139" s="164">
        <f>표1[[#This Row],[단가]]*표1[[#This Row],[주문수량(g)]]</f>
        <v/>
      </c>
    </row>
    <row r="140" ht="16.5" customHeight="1" s="141">
      <c r="A140" s="21" t="n">
        <v>141</v>
      </c>
      <c r="B140" s="155" t="n">
        <v>46140</v>
      </c>
      <c r="C140" s="28" t="inlineStr">
        <is>
          <t>419국수김밥</t>
        </is>
      </c>
      <c r="D140" s="28" t="inlineStr">
        <is>
          <t>루꼴라</t>
        </is>
      </c>
      <c r="E140" s="163">
        <f>VLOOKUP(표1[[#This Row],[작물명]],$K$2:$L$5,2,FALSE)</f>
        <v/>
      </c>
      <c r="F140" s="164" t="n">
        <v>600</v>
      </c>
      <c r="G140" s="164">
        <f>표1[[#This Row],[단가]]*표1[[#This Row],[주문수량(g)]]</f>
        <v/>
      </c>
    </row>
    <row r="141" ht="16.5" customHeight="1" s="141">
      <c r="A141" s="21" t="n">
        <v>142</v>
      </c>
      <c r="B141" s="155" t="n">
        <v>46141</v>
      </c>
      <c r="C141" s="28" t="inlineStr">
        <is>
          <t>재간정</t>
        </is>
      </c>
      <c r="D141" s="28" t="inlineStr">
        <is>
          <t>애플민트</t>
        </is>
      </c>
      <c r="E141" s="163">
        <f>VLOOKUP(표1[[#This Row],[작물명]],$K$2:$L$5,2,FALSE)</f>
        <v/>
      </c>
      <c r="F141" s="164" t="n">
        <v>400</v>
      </c>
      <c r="G141" s="164">
        <f>표1[[#This Row],[단가]]*표1[[#This Row],[주문수량(g)]]</f>
        <v/>
      </c>
    </row>
    <row r="142" ht="16.5" customHeight="1" s="141">
      <c r="A142" s="21" t="n">
        <v>143</v>
      </c>
      <c r="B142" s="155" t="n">
        <v>46143</v>
      </c>
      <c r="C142" s="28" t="inlineStr">
        <is>
          <t>까미노</t>
        </is>
      </c>
      <c r="D142" s="28" t="inlineStr">
        <is>
          <t>루꼴라</t>
        </is>
      </c>
      <c r="E142" s="163">
        <f>VLOOKUP(표1[[#This Row],[작물명]],$K$2:$L$5,2,FALSE)</f>
        <v/>
      </c>
      <c r="F142" s="164" t="n">
        <v>900</v>
      </c>
      <c r="G142" s="164">
        <f>표1[[#This Row],[단가]]*표1[[#This Row],[주문수량(g)]]</f>
        <v/>
      </c>
    </row>
    <row r="143" ht="16.5" customHeight="1" s="141">
      <c r="A143" s="21" t="n">
        <v>144</v>
      </c>
      <c r="B143" s="155" t="n">
        <v>46143</v>
      </c>
      <c r="C143" s="28" t="inlineStr">
        <is>
          <t>크을농</t>
        </is>
      </c>
      <c r="D143" s="28" t="inlineStr">
        <is>
          <t>루꼴라</t>
        </is>
      </c>
      <c r="E143" s="163">
        <f>VLOOKUP(표1[[#This Row],[작물명]],$K$2:$L$5,2,FALSE)</f>
        <v/>
      </c>
      <c r="F143" s="164" t="n">
        <v>1000</v>
      </c>
      <c r="G143" s="164">
        <f>표1[[#This Row],[단가]]*표1[[#This Row],[주문수량(g)]]</f>
        <v/>
      </c>
    </row>
    <row r="144" ht="16.5" customHeight="1" s="141">
      <c r="A144" s="21" t="n">
        <v>145</v>
      </c>
      <c r="B144" s="155" t="n">
        <v>46143</v>
      </c>
      <c r="C144" s="28" t="inlineStr">
        <is>
          <t>요요네</t>
        </is>
      </c>
      <c r="D144" s="28" t="inlineStr">
        <is>
          <t>루꼴라</t>
        </is>
      </c>
      <c r="E144" s="163">
        <f>VLOOKUP(표1[[#This Row],[작물명]],$K$2:$L$5,2,FALSE)</f>
        <v/>
      </c>
      <c r="F144" s="164" t="n">
        <v>600</v>
      </c>
      <c r="G144" s="164">
        <f>표1[[#This Row],[단가]]*표1[[#This Row],[주문수량(g)]]</f>
        <v/>
      </c>
    </row>
    <row r="145" ht="16.5" customHeight="1" s="141">
      <c r="A145" s="21" t="n">
        <v>146</v>
      </c>
      <c r="B145" s="155" t="n">
        <v>46143</v>
      </c>
      <c r="C145" s="28" t="inlineStr">
        <is>
          <t>미즐 카페엠</t>
        </is>
      </c>
      <c r="D145" s="28" t="inlineStr">
        <is>
          <t>엽채류</t>
        </is>
      </c>
      <c r="E145" s="163">
        <f>VLOOKUP(표1[[#This Row],[작물명]],$K$2:$L$5,2,FALSE)</f>
        <v/>
      </c>
      <c r="F145" s="164" t="n">
        <v>100</v>
      </c>
      <c r="G145" s="164">
        <f>표1[[#This Row],[단가]]*표1[[#This Row],[주문수량(g)]]</f>
        <v/>
      </c>
      <c r="I145" s="26" t="inlineStr">
        <is>
          <t>이자트릭스</t>
        </is>
      </c>
    </row>
    <row r="146" ht="16.5" customHeight="1" s="141">
      <c r="A146" s="21" t="n">
        <v>147</v>
      </c>
      <c r="B146" s="155" t="n">
        <v>46143</v>
      </c>
      <c r="C146" s="28" t="inlineStr">
        <is>
          <t>미즐 카페엠</t>
        </is>
      </c>
      <c r="D146" s="28" t="inlineStr">
        <is>
          <t>엽채류</t>
        </is>
      </c>
      <c r="E146" s="163">
        <f>VLOOKUP(표1[[#This Row],[작물명]],$K$2:$L$5,2,FALSE)</f>
        <v/>
      </c>
      <c r="F146" s="157" t="n">
        <v>200</v>
      </c>
      <c r="G146" s="164">
        <f>표1[[#This Row],[단가]]*표1[[#This Row],[주문수량(g)]]</f>
        <v/>
      </c>
      <c r="I146" s="26" t="inlineStr">
        <is>
          <t>프릴아이스</t>
        </is>
      </c>
    </row>
    <row r="147" ht="16.5" customHeight="1" s="141">
      <c r="A147" s="21" t="n">
        <v>148</v>
      </c>
      <c r="B147" s="155" t="n">
        <v>46154</v>
      </c>
      <c r="C147" s="28" t="inlineStr">
        <is>
          <t>까미노</t>
        </is>
      </c>
      <c r="D147" s="28" t="inlineStr">
        <is>
          <t>루꼴라</t>
        </is>
      </c>
      <c r="E147" s="163">
        <f>VLOOKUP(표1[[#This Row],[작물명]],$K$2:$L$5,2,FALSE)</f>
        <v/>
      </c>
      <c r="F147" s="164" t="n">
        <v>500</v>
      </c>
      <c r="G147" s="164">
        <f>표1[[#This Row],[단가]]*표1[[#This Row],[주문수량(g)]]</f>
        <v/>
      </c>
    </row>
    <row r="148" ht="16.5" customHeight="1" s="141">
      <c r="A148" s="21" t="n">
        <v>149</v>
      </c>
      <c r="B148" s="155" t="n">
        <v>46154</v>
      </c>
      <c r="C148" s="28" t="inlineStr">
        <is>
          <t>크을농</t>
        </is>
      </c>
      <c r="D148" s="28" t="inlineStr">
        <is>
          <t>루꼴라</t>
        </is>
      </c>
      <c r="E148" s="163">
        <f>VLOOKUP(표1[[#This Row],[작물명]],$K$2:$L$5,2,FALSE)</f>
        <v/>
      </c>
      <c r="F148" s="164" t="n">
        <v>1000</v>
      </c>
      <c r="G148" s="164">
        <f>표1[[#This Row],[단가]]*표1[[#This Row],[주문수량(g)]]</f>
        <v/>
      </c>
    </row>
    <row r="149" ht="16.5" customHeight="1" s="141">
      <c r="A149" s="21" t="n">
        <v>150</v>
      </c>
      <c r="B149" s="155" t="n">
        <v>46164</v>
      </c>
      <c r="C149" s="28" t="inlineStr">
        <is>
          <t>까미노</t>
        </is>
      </c>
      <c r="D149" s="28" t="inlineStr">
        <is>
          <t>루꼴라</t>
        </is>
      </c>
      <c r="E149" s="163">
        <f>VLOOKUP(표1[[#This Row],[작물명]],$K$2:$L$5,2,FALSE)</f>
        <v/>
      </c>
      <c r="F149" s="164" t="n">
        <v>500</v>
      </c>
      <c r="G149" s="164">
        <f>표1[[#This Row],[단가]]*표1[[#This Row],[주문수량(g)]]</f>
        <v/>
      </c>
    </row>
    <row r="150" ht="16.5" customHeight="1" s="141">
      <c r="A150" s="21" t="n">
        <v>151</v>
      </c>
      <c r="B150" s="155" t="n">
        <v>46164</v>
      </c>
      <c r="C150" s="28" t="inlineStr">
        <is>
          <t>요요네</t>
        </is>
      </c>
      <c r="D150" s="28" t="inlineStr">
        <is>
          <t>루꼴라</t>
        </is>
      </c>
      <c r="E150" s="163">
        <f>VLOOKUP(표1[[#This Row],[작물명]],$K$2:$L$5,2,FALSE)</f>
        <v/>
      </c>
      <c r="F150" s="164" t="n">
        <v>300</v>
      </c>
      <c r="G150" s="164">
        <f>표1[[#This Row],[단가]]*표1[[#This Row],[주문수량(g)]]</f>
        <v/>
      </c>
    </row>
    <row r="151" ht="16.5" customHeight="1" s="141">
      <c r="A151" s="21" t="n">
        <v>152</v>
      </c>
      <c r="B151" s="155" t="n">
        <v>46168</v>
      </c>
      <c r="C151" s="28" t="inlineStr">
        <is>
          <t>미즐 카페엠</t>
        </is>
      </c>
      <c r="D151" s="28" t="inlineStr">
        <is>
          <t>엽채류</t>
        </is>
      </c>
      <c r="E151" s="163">
        <f>VLOOKUP(표1[[#This Row],[작물명]],$K$2:$L$5,2,FALSE)</f>
        <v/>
      </c>
      <c r="F151" s="164" t="n">
        <v>200</v>
      </c>
      <c r="G151" s="164">
        <f>표1[[#This Row],[단가]]*표1[[#This Row],[주문수량(g)]]</f>
        <v/>
      </c>
      <c r="I151" s="26" t="inlineStr">
        <is>
          <t>프릴아이스</t>
        </is>
      </c>
    </row>
    <row r="152" ht="16.5" customHeight="1" s="141">
      <c r="A152" s="21" t="n">
        <v>153</v>
      </c>
      <c r="B152" s="155" t="n">
        <v>46168</v>
      </c>
      <c r="C152" s="96" t="inlineStr">
        <is>
          <t>미즐 카페엠</t>
        </is>
      </c>
      <c r="D152" s="96" t="inlineStr">
        <is>
          <t>루꼴라</t>
        </is>
      </c>
      <c r="E152" s="163">
        <f>VLOOKUP(표1[[#This Row],[작물명]],$K$2:$L$5,2,FALSE)</f>
        <v/>
      </c>
      <c r="F152" s="175" t="n">
        <v>200</v>
      </c>
      <c r="G152" s="175">
        <f>표1[[#This Row],[단가]]*표1[[#This Row],[주문수량(g)]]</f>
        <v/>
      </c>
    </row>
    <row r="153" ht="16.5" customHeight="1" s="141">
      <c r="A153" s="21" t="n">
        <v>154</v>
      </c>
      <c r="B153" s="155" t="n">
        <v>46171</v>
      </c>
      <c r="C153" s="28" t="inlineStr">
        <is>
          <t>까미노</t>
        </is>
      </c>
      <c r="D153" s="28" t="inlineStr">
        <is>
          <t>루꼴라</t>
        </is>
      </c>
      <c r="E153" s="163">
        <f>VLOOKUP(표1[[#This Row],[작물명]],$K$2:$L$5,2,FALSE)</f>
        <v/>
      </c>
      <c r="F153" s="164" t="n">
        <v>500</v>
      </c>
      <c r="G153" s="164">
        <f>표1[[#This Row],[단가]]*표1[[#This Row],[주문수량(g)]]</f>
        <v/>
      </c>
    </row>
    <row r="154" ht="16.5" customHeight="1" s="141">
      <c r="A154" s="21" t="n">
        <v>155</v>
      </c>
      <c r="B154" s="155" t="n">
        <v>46171</v>
      </c>
      <c r="C154" s="28" t="inlineStr">
        <is>
          <t>419국수김밥</t>
        </is>
      </c>
      <c r="D154" s="28" t="inlineStr">
        <is>
          <t>루꼴라</t>
        </is>
      </c>
      <c r="E154" s="163">
        <f>VLOOKUP(표1[[#This Row],[작물명]],$K$2:$L$5,2,FALSE)</f>
        <v/>
      </c>
      <c r="F154" s="164" t="n">
        <v>500</v>
      </c>
      <c r="G154" s="164">
        <f>표1[[#This Row],[단가]]*표1[[#This Row],[주문수량(g)]]</f>
        <v/>
      </c>
    </row>
    <row r="155" ht="16.5" customHeight="1" s="141">
      <c r="A155" s="21" t="n">
        <v>156</v>
      </c>
      <c r="B155" s="155" t="n">
        <v>46175</v>
      </c>
      <c r="C155" s="28" t="inlineStr">
        <is>
          <t>미즐 카페엠</t>
        </is>
      </c>
      <c r="D155" s="28" t="inlineStr">
        <is>
          <t>엽채류</t>
        </is>
      </c>
      <c r="E155" s="163">
        <f>VLOOKUP(표1[[#This Row],[작물명]],$K$2:$L$5,2,FALSE)</f>
        <v/>
      </c>
      <c r="F155" s="164" t="n">
        <v>300</v>
      </c>
      <c r="G155" s="164">
        <f>표1[[#This Row],[단가]]*표1[[#This Row],[주문수량(g)]]</f>
        <v/>
      </c>
      <c r="I155" s="26" t="inlineStr">
        <is>
          <t>프릴아이스</t>
        </is>
      </c>
    </row>
    <row r="156" ht="16.5" customHeight="1" s="141">
      <c r="A156" s="21" t="n">
        <v>157</v>
      </c>
      <c r="B156" s="155" t="n">
        <v>46175</v>
      </c>
      <c r="C156" s="96" t="inlineStr">
        <is>
          <t>미즐 카페엠</t>
        </is>
      </c>
      <c r="D156" s="96" t="inlineStr">
        <is>
          <t>루꼴라</t>
        </is>
      </c>
      <c r="E156" s="163">
        <f>VLOOKUP(표1[[#This Row],[작물명]],$K$2:$L$5,2,FALSE)</f>
        <v/>
      </c>
      <c r="F156" s="175" t="n">
        <v>190</v>
      </c>
      <c r="G156" s="175">
        <f>표1[[#This Row],[단가]]*표1[[#This Row],[주문수량(g)]]</f>
        <v/>
      </c>
    </row>
    <row r="157" ht="16.5" customHeight="1" s="141">
      <c r="A157" s="21" t="n">
        <v>158</v>
      </c>
      <c r="B157" s="155" t="n">
        <v>46175</v>
      </c>
      <c r="C157" s="28" t="inlineStr">
        <is>
          <t>까미노</t>
        </is>
      </c>
      <c r="D157" s="28" t="inlineStr">
        <is>
          <t>루꼴라</t>
        </is>
      </c>
      <c r="E157" s="163">
        <f>VLOOKUP(표1[[#This Row],[작물명]],$K$2:$L$5,2,FALSE)</f>
        <v/>
      </c>
      <c r="F157" s="164" t="n">
        <v>500</v>
      </c>
      <c r="G157" s="164">
        <f>표1[[#This Row],[단가]]*표1[[#This Row],[주문수량(g)]]</f>
        <v/>
      </c>
    </row>
    <row r="158" ht="16.5" customHeight="1" s="141">
      <c r="A158" s="21" t="n">
        <v>159</v>
      </c>
      <c r="B158" s="155" t="n">
        <v>46178</v>
      </c>
      <c r="C158" s="28" t="inlineStr">
        <is>
          <t>크을농</t>
        </is>
      </c>
      <c r="D158" s="28" t="inlineStr">
        <is>
          <t>루꼴라</t>
        </is>
      </c>
      <c r="E158" s="163">
        <f>VLOOKUP(표1[[#This Row],[작물명]],$K$2:$L$5,2,FALSE)</f>
        <v/>
      </c>
      <c r="F158" s="164" t="n">
        <v>1000</v>
      </c>
      <c r="G158" s="164">
        <f>표1[[#This Row],[단가]]*표1[[#This Row],[주문수량(g)]]</f>
        <v/>
      </c>
    </row>
    <row r="159" ht="16.5" customHeight="1" s="141">
      <c r="A159" s="21" t="n">
        <v>160</v>
      </c>
      <c r="B159" s="155" t="n">
        <v>46178</v>
      </c>
      <c r="C159" s="28" t="inlineStr">
        <is>
          <t>419국수김밥</t>
        </is>
      </c>
      <c r="D159" s="28" t="inlineStr">
        <is>
          <t>루꼴라</t>
        </is>
      </c>
      <c r="E159" s="163">
        <f>VLOOKUP(표1[[#This Row],[작물명]],$K$2:$L$5,2,FALSE)</f>
        <v/>
      </c>
      <c r="F159" s="164" t="n">
        <v>600</v>
      </c>
      <c r="G159" s="164">
        <f>표1[[#This Row],[단가]]*표1[[#This Row],[주문수량(g)]]</f>
        <v/>
      </c>
    </row>
    <row r="160" ht="16.5" customHeight="1" s="141">
      <c r="A160" s="21" t="n">
        <v>161</v>
      </c>
      <c r="B160" s="155" t="n">
        <v>46178</v>
      </c>
      <c r="C160" s="28" t="inlineStr">
        <is>
          <t>재간정</t>
        </is>
      </c>
      <c r="D160" s="28" t="inlineStr">
        <is>
          <t>애플민트</t>
        </is>
      </c>
      <c r="E160" s="163">
        <f>VLOOKUP(표1[[#This Row],[작물명]],$K$2:$L$5,2,FALSE)</f>
        <v/>
      </c>
      <c r="F160" s="164" t="n">
        <v>100</v>
      </c>
      <c r="G160" s="164">
        <f>표1[[#This Row],[단가]]*표1[[#This Row],[주문수량(g)]]</f>
        <v/>
      </c>
    </row>
    <row r="161" ht="16.5" customHeight="1" s="141">
      <c r="A161" s="21" t="n">
        <v>162</v>
      </c>
      <c r="B161" s="155" t="n">
        <v>46182</v>
      </c>
      <c r="C161" s="28" t="inlineStr">
        <is>
          <t>화수브루어리</t>
        </is>
      </c>
      <c r="D161" s="28" t="inlineStr">
        <is>
          <t>루꼴라</t>
        </is>
      </c>
      <c r="E161" s="163">
        <f>VLOOKUP(표1[[#This Row],[작물명]],$K$2:$L$5,2,FALSE)</f>
        <v/>
      </c>
      <c r="F161" s="164" t="n">
        <v>300</v>
      </c>
      <c r="G161" s="164">
        <f>표1[[#This Row],[단가]]*표1[[#This Row],[주문수량(g)]]</f>
        <v/>
      </c>
    </row>
    <row r="162" ht="16.5" customHeight="1" s="141">
      <c r="A162" s="21" t="n">
        <v>163</v>
      </c>
      <c r="B162" s="155" t="n">
        <v>46185</v>
      </c>
      <c r="C162" s="96" t="inlineStr">
        <is>
          <t>까미노</t>
        </is>
      </c>
      <c r="D162" s="96" t="inlineStr">
        <is>
          <t>루꼴라</t>
        </is>
      </c>
      <c r="E162" s="163">
        <f>VLOOKUP(표1[[#This Row],[작물명]],$K$2:$L$5,2,FALSE)</f>
        <v/>
      </c>
      <c r="F162" s="175" t="n">
        <v>500</v>
      </c>
      <c r="G162" s="175">
        <f>표1[[#This Row],[단가]]*표1[[#This Row],[주문수량(g)]]</f>
        <v/>
      </c>
    </row>
    <row r="163" ht="16.5" customHeight="1" s="141">
      <c r="A163" s="21" t="n">
        <v>164</v>
      </c>
      <c r="B163" s="155" t="n">
        <v>46185</v>
      </c>
      <c r="C163" s="28" t="inlineStr">
        <is>
          <t>재간정</t>
        </is>
      </c>
      <c r="D163" s="28" t="inlineStr">
        <is>
          <t>애플민트</t>
        </is>
      </c>
      <c r="E163" s="163">
        <f>VLOOKUP(표1[[#This Row],[작물명]],$K$2:$L$5,2,FALSE)</f>
        <v/>
      </c>
      <c r="F163" s="164" t="n">
        <v>150</v>
      </c>
      <c r="G163" s="164">
        <f>표1[[#This Row],[단가]]*표1[[#This Row],[주문수량(g)]]</f>
        <v/>
      </c>
    </row>
    <row r="164" ht="16.5" customHeight="1" s="141">
      <c r="A164" s="21" t="n">
        <v>165</v>
      </c>
      <c r="B164" s="155" t="n">
        <v>46189</v>
      </c>
      <c r="C164" s="96" t="inlineStr">
        <is>
          <t>까미노</t>
        </is>
      </c>
      <c r="D164" s="96" t="inlineStr">
        <is>
          <t>루꼴라</t>
        </is>
      </c>
      <c r="E164" s="163">
        <f>VLOOKUP(표1[[#This Row],[작물명]],$K$2:$L$5,2,FALSE)</f>
        <v/>
      </c>
      <c r="F164" s="175" t="n">
        <v>500</v>
      </c>
      <c r="G164" s="175">
        <f>표1[[#This Row],[단가]]*표1[[#This Row],[주문수량(g)]]</f>
        <v/>
      </c>
    </row>
    <row r="165" ht="16.5" customHeight="1" s="141">
      <c r="A165" s="21" t="n">
        <v>166</v>
      </c>
      <c r="B165" s="155" t="n">
        <v>46192</v>
      </c>
      <c r="C165" s="28" t="inlineStr">
        <is>
          <t>요요네</t>
        </is>
      </c>
      <c r="D165" s="28" t="inlineStr">
        <is>
          <t>루꼴라</t>
        </is>
      </c>
      <c r="E165" s="163">
        <f>VLOOKUP(표1[[#This Row],[작물명]],$K$2:$L$5,2,FALSE)</f>
        <v/>
      </c>
      <c r="F165" s="164" t="n">
        <v>300</v>
      </c>
      <c r="G165" s="164">
        <f>표1[[#This Row],[단가]]*표1[[#This Row],[주문수량(g)]]</f>
        <v/>
      </c>
    </row>
    <row r="166" ht="16.5" customHeight="1" s="141">
      <c r="A166" s="21" t="n">
        <v>167</v>
      </c>
      <c r="B166" s="155" t="n">
        <v>46192</v>
      </c>
      <c r="C166" s="28" t="inlineStr">
        <is>
          <t>까미노</t>
        </is>
      </c>
      <c r="D166" s="28" t="inlineStr">
        <is>
          <t>루꼴라</t>
        </is>
      </c>
      <c r="E166" s="163">
        <f>VLOOKUP(표1[[#This Row],[작물명]],$K$2:$L$5,2,FALSE)</f>
        <v/>
      </c>
      <c r="F166" s="164" t="n">
        <v>500</v>
      </c>
      <c r="G166" s="164">
        <f>표1[[#This Row],[단가]]*표1[[#This Row],[주문수량(g)]]</f>
        <v/>
      </c>
    </row>
    <row r="167" ht="16.5" customHeight="1" s="141">
      <c r="A167" s="21" t="n">
        <v>168</v>
      </c>
      <c r="B167" s="155" t="n">
        <v>46192</v>
      </c>
      <c r="C167" s="28" t="inlineStr">
        <is>
          <t>미즐 카페엠</t>
        </is>
      </c>
      <c r="D167" s="28" t="inlineStr">
        <is>
          <t>엽채류</t>
        </is>
      </c>
      <c r="E167" s="163">
        <f>VLOOKUP(표1[[#This Row],[작물명]],$K$2:$L$5,2,FALSE)</f>
        <v/>
      </c>
      <c r="F167" s="164" t="n">
        <v>300</v>
      </c>
      <c r="G167" s="164">
        <f>표1[[#This Row],[단가]]*표1[[#This Row],[주문수량(g)]]</f>
        <v/>
      </c>
      <c r="I167" s="26" t="inlineStr">
        <is>
          <t>프릴아이스</t>
        </is>
      </c>
    </row>
    <row r="168" ht="16.5" customHeight="1" s="141">
      <c r="A168" s="21" t="n">
        <v>169</v>
      </c>
      <c r="B168" s="155" t="n">
        <v>46196</v>
      </c>
      <c r="C168" s="28" t="inlineStr">
        <is>
          <t>까미노</t>
        </is>
      </c>
      <c r="D168" s="28" t="inlineStr">
        <is>
          <t>루꼴라</t>
        </is>
      </c>
      <c r="E168" s="163">
        <f>VLOOKUP(표1[[#This Row],[작물명]],$K$2:$L$5,2,FALSE)</f>
        <v/>
      </c>
      <c r="F168" s="164" t="n">
        <v>500</v>
      </c>
      <c r="G168" s="164">
        <f>표1[[#This Row],[단가]]*표1[[#This Row],[주문수량(g)]]</f>
        <v/>
      </c>
    </row>
    <row r="169" ht="16.5" customHeight="1" s="141">
      <c r="A169" s="21" t="n">
        <v>170</v>
      </c>
      <c r="B169" s="155" t="n">
        <v>46196</v>
      </c>
      <c r="C169" s="28" t="inlineStr">
        <is>
          <t>재간정</t>
        </is>
      </c>
      <c r="D169" s="28" t="inlineStr">
        <is>
          <t>애플민트</t>
        </is>
      </c>
      <c r="E169" s="163">
        <f>VLOOKUP(표1[[#This Row],[작물명]],$K$2:$L$5,2,FALSE)</f>
        <v/>
      </c>
      <c r="F169" s="164" t="n">
        <v>500</v>
      </c>
      <c r="G169" s="164">
        <f>표1[[#This Row],[단가]]*표1[[#This Row],[주문수량(g)]]</f>
        <v/>
      </c>
    </row>
    <row r="170" ht="16.5" customHeight="1" s="141">
      <c r="A170" s="21" t="n">
        <v>171</v>
      </c>
      <c r="B170" s="155" t="n">
        <v>46199</v>
      </c>
      <c r="C170" s="28" t="inlineStr">
        <is>
          <t>까미노</t>
        </is>
      </c>
      <c r="D170" s="28" t="inlineStr">
        <is>
          <t>루꼴라</t>
        </is>
      </c>
      <c r="E170" s="163">
        <f>VLOOKUP(표1[[#This Row],[작물명]],$K$2:$L$5,2,FALSE)</f>
        <v/>
      </c>
      <c r="F170" s="164" t="n">
        <v>500</v>
      </c>
      <c r="G170" s="164">
        <f>표1[[#This Row],[단가]]*표1[[#This Row],[주문수량(g)]]</f>
        <v/>
      </c>
    </row>
    <row r="171" ht="16.5" customHeight="1" s="141">
      <c r="A171" s="21" t="n">
        <v>172</v>
      </c>
      <c r="B171" s="155" t="n">
        <v>46199</v>
      </c>
      <c r="C171" s="28" t="inlineStr">
        <is>
          <t>419국수김밥</t>
        </is>
      </c>
      <c r="D171" s="28" t="inlineStr">
        <is>
          <t>루꼴라</t>
        </is>
      </c>
      <c r="E171" s="163">
        <f>VLOOKUP(표1[[#This Row],[작물명]],$K$2:$L$5,2,FALSE)</f>
        <v/>
      </c>
      <c r="F171" s="164" t="n">
        <v>300</v>
      </c>
      <c r="G171" s="164">
        <f>표1[[#This Row],[단가]]*표1[[#This Row],[주문수량(g)]]</f>
        <v/>
      </c>
    </row>
    <row r="172" ht="16.5" customHeight="1" s="141">
      <c r="A172" s="21" t="n">
        <v>173</v>
      </c>
      <c r="B172" s="155" t="n">
        <v>46199</v>
      </c>
      <c r="C172" s="28" t="inlineStr">
        <is>
          <t>미즐 카페엠</t>
        </is>
      </c>
      <c r="D172" s="28" t="inlineStr">
        <is>
          <t>엽채류</t>
        </is>
      </c>
      <c r="E172" s="163">
        <f>VLOOKUP(표1[[#This Row],[작물명]],$K$2:$L$5,2,FALSE)</f>
        <v/>
      </c>
      <c r="F172" s="164" t="n">
        <v>100</v>
      </c>
      <c r="G172" s="164">
        <f>표1[[#This Row],[단가]]*표1[[#This Row],[주문수량(g)]]</f>
        <v/>
      </c>
      <c r="I172" s="26" t="inlineStr">
        <is>
          <t>프릴아이스</t>
        </is>
      </c>
    </row>
    <row r="173" ht="16.5" customHeight="1" s="141">
      <c r="A173" s="21" t="n">
        <v>174</v>
      </c>
      <c r="B173" s="155" t="n">
        <v>46199</v>
      </c>
      <c r="C173" s="96" t="inlineStr">
        <is>
          <t>미즐 카페엠</t>
        </is>
      </c>
      <c r="D173" s="96" t="inlineStr">
        <is>
          <t>루꼴라</t>
        </is>
      </c>
      <c r="E173" s="163">
        <f>VLOOKUP(표1[[#This Row],[작물명]],$K$2:$L$5,2,FALSE)</f>
        <v/>
      </c>
      <c r="F173" s="175" t="n">
        <v>200</v>
      </c>
      <c r="G173" s="175">
        <f>표1[[#This Row],[단가]]*표1[[#This Row],[주문수량(g)]]</f>
        <v/>
      </c>
    </row>
    <row r="174" ht="16.5" customHeight="1" s="141">
      <c r="A174" s="21" t="n">
        <v>175</v>
      </c>
      <c r="B174" s="155" t="n">
        <v>46203</v>
      </c>
      <c r="C174" s="28" t="inlineStr">
        <is>
          <t>화수브루어리</t>
        </is>
      </c>
      <c r="D174" s="28" t="inlineStr">
        <is>
          <t>루꼴라</t>
        </is>
      </c>
      <c r="E174" s="163">
        <f>VLOOKUP(표1[[#This Row],[작물명]],$K$2:$L$5,2,FALSE)</f>
        <v/>
      </c>
      <c r="F174" s="164" t="n">
        <v>300</v>
      </c>
      <c r="G174" s="164">
        <f>표1[[#This Row],[단가]]*표1[[#This Row],[주문수량(g)]]</f>
        <v/>
      </c>
    </row>
    <row r="175" ht="16.5" customHeight="1" s="141">
      <c r="A175" s="21" t="n">
        <v>176</v>
      </c>
      <c r="B175" s="155" t="n">
        <v>46203</v>
      </c>
      <c r="C175" s="28" t="inlineStr">
        <is>
          <t>까미노</t>
        </is>
      </c>
      <c r="D175" s="28" t="inlineStr">
        <is>
          <t>루꼴라</t>
        </is>
      </c>
      <c r="E175" s="163">
        <f>VLOOKUP(표1[[#This Row],[작물명]],$K$2:$L$5,2,FALSE)</f>
        <v/>
      </c>
      <c r="F175" s="164" t="n">
        <v>500</v>
      </c>
      <c r="G175" s="164">
        <f>표1[[#This Row],[단가]]*표1[[#This Row],[주문수량(g)]]</f>
        <v/>
      </c>
    </row>
    <row r="176" ht="16.5" customHeight="1" s="141">
      <c r="A176" s="21" t="n">
        <v>177</v>
      </c>
      <c r="B176" s="155" t="n">
        <v>46206</v>
      </c>
      <c r="C176" s="28" t="inlineStr">
        <is>
          <t>크을농</t>
        </is>
      </c>
      <c r="D176" s="28" t="inlineStr">
        <is>
          <t>루꼴라</t>
        </is>
      </c>
      <c r="E176" s="163">
        <f>VLOOKUP(표1[[#This Row],[작물명]],$K$2:$L$5,2,FALSE)</f>
        <v/>
      </c>
      <c r="F176" s="164" t="n">
        <v>1000</v>
      </c>
      <c r="G176" s="164">
        <f>표1[[#This Row],[단가]]*표1[[#This Row],[주문수량(g)]]</f>
        <v/>
      </c>
    </row>
    <row r="177" ht="16.5" customHeight="1" s="141">
      <c r="A177" s="21" t="n">
        <v>178</v>
      </c>
      <c r="B177" s="155" t="n">
        <v>46206</v>
      </c>
      <c r="C177" s="28" t="inlineStr">
        <is>
          <t>까미노</t>
        </is>
      </c>
      <c r="D177" s="28" t="inlineStr">
        <is>
          <t>루꼴라</t>
        </is>
      </c>
      <c r="E177" s="163">
        <f>VLOOKUP(표1[[#This Row],[작물명]],$K$2:$L$5,2,FALSE)</f>
        <v/>
      </c>
      <c r="F177" s="164" t="n">
        <v>500</v>
      </c>
      <c r="G177" s="164">
        <f>표1[[#This Row],[단가]]*표1[[#This Row],[주문수량(g)]]</f>
        <v/>
      </c>
    </row>
    <row r="178" ht="16.5" customHeight="1" s="141">
      <c r="A178" s="21" t="n">
        <v>179</v>
      </c>
      <c r="B178" s="155" t="n">
        <v>46210</v>
      </c>
      <c r="C178" s="28" t="inlineStr">
        <is>
          <t>까미노</t>
        </is>
      </c>
      <c r="D178" s="28" t="inlineStr">
        <is>
          <t>루꼴라</t>
        </is>
      </c>
      <c r="E178" s="163">
        <f>VLOOKUP(표1[[#This Row],[작물명]],$K$2:$L$5,2,FALSE)</f>
        <v/>
      </c>
      <c r="F178" s="164" t="n">
        <v>500</v>
      </c>
      <c r="G178" s="164">
        <f>표1[[#This Row],[단가]]*표1[[#This Row],[주문수량(g)]]</f>
        <v/>
      </c>
    </row>
    <row r="179" ht="16.5" customHeight="1" s="141">
      <c r="A179" s="21" t="n">
        <v>180</v>
      </c>
      <c r="B179" s="155" t="n">
        <v>46211</v>
      </c>
      <c r="C179" s="21" t="inlineStr">
        <is>
          <t>비르케</t>
        </is>
      </c>
      <c r="D179" s="28" t="inlineStr">
        <is>
          <t>루꼴라</t>
        </is>
      </c>
      <c r="E179" s="163">
        <f>VLOOKUP(표1[[#This Row],[작물명]],$K$2:$L$5,2,FALSE)</f>
        <v/>
      </c>
      <c r="F179" s="157" t="n">
        <v>500</v>
      </c>
      <c r="G179" s="164">
        <f>표1[[#This Row],[단가]]*표1[[#This Row],[주문수량(g)]]</f>
        <v/>
      </c>
    </row>
    <row r="180" ht="16.5" customHeight="1" s="141">
      <c r="A180" s="21" t="n">
        <v>181</v>
      </c>
      <c r="B180" s="155" t="n">
        <v>46211</v>
      </c>
      <c r="C180" s="21" t="inlineStr">
        <is>
          <t>비르케</t>
        </is>
      </c>
      <c r="D180" s="21" t="inlineStr">
        <is>
          <t>바질</t>
        </is>
      </c>
      <c r="E180" s="163">
        <f>VLOOKUP(표1[[#This Row],[작물명]],$K$2:$L$5,2,FALSE)</f>
        <v/>
      </c>
      <c r="F180" s="157" t="n">
        <v>500</v>
      </c>
      <c r="G180" s="164">
        <f>표1[[#This Row],[단가]]*표1[[#This Row],[주문수량(g)]]</f>
        <v/>
      </c>
    </row>
    <row r="181" ht="16.5" customHeight="1" s="141">
      <c r="A181" s="21" t="n">
        <v>182</v>
      </c>
      <c r="B181" s="155" t="n">
        <v>46211</v>
      </c>
      <c r="C181" s="21" t="inlineStr">
        <is>
          <t>크을농</t>
        </is>
      </c>
      <c r="D181" s="28" t="inlineStr">
        <is>
          <t>루꼴라</t>
        </is>
      </c>
      <c r="E181" s="163">
        <f>VLOOKUP(표1[[#This Row],[작물명]],$K$2:$L$5,2,FALSE)</f>
        <v/>
      </c>
      <c r="F181" s="157" t="n">
        <v>500</v>
      </c>
      <c r="G181" s="164">
        <f>표1[[#This Row],[단가]]*표1[[#This Row],[주문수량(g)]]</f>
        <v/>
      </c>
    </row>
    <row r="182" ht="16.5" customHeight="1" s="141">
      <c r="A182" s="21" t="n">
        <v>183</v>
      </c>
      <c r="B182" s="155" t="n">
        <v>46211</v>
      </c>
      <c r="C182" s="21" t="inlineStr">
        <is>
          <t>크을농</t>
        </is>
      </c>
      <c r="D182" s="21" t="inlineStr">
        <is>
          <t>바질</t>
        </is>
      </c>
      <c r="E182" s="163">
        <f>VLOOKUP(표1[[#This Row],[작물명]],$K$2:$L$5,2,FALSE)</f>
        <v/>
      </c>
      <c r="F182" s="157" t="n">
        <v>500</v>
      </c>
      <c r="G182" s="164">
        <f>표1[[#This Row],[단가]]*표1[[#This Row],[주문수량(g)]]</f>
        <v/>
      </c>
    </row>
    <row r="183" ht="16.5" customHeight="1" s="141">
      <c r="A183" s="21" t="n">
        <v>184</v>
      </c>
      <c r="B183" s="155" t="n">
        <v>46213</v>
      </c>
      <c r="C183" s="104" t="inlineStr">
        <is>
          <t>미즐 카페엠</t>
        </is>
      </c>
      <c r="D183" s="104" t="inlineStr">
        <is>
          <t>엽채류</t>
        </is>
      </c>
      <c r="E183" s="163">
        <f>VLOOKUP(표1[[#This Row],[작물명]],$K$2:$L$5,2,FALSE)</f>
        <v/>
      </c>
      <c r="F183" s="176" t="n">
        <v>200</v>
      </c>
      <c r="G183" s="176">
        <f>표1[[#This Row],[단가]]*표1[[#This Row],[주문수량(g)]]</f>
        <v/>
      </c>
      <c r="H183" s="177" t="n"/>
      <c r="I183" s="106" t="inlineStr">
        <is>
          <t>프릴아이스</t>
        </is>
      </c>
    </row>
    <row r="184" ht="16.5" customHeight="1" s="141">
      <c r="A184" s="21" t="n">
        <v>185</v>
      </c>
      <c r="B184" s="155" t="n">
        <v>46213</v>
      </c>
      <c r="C184" s="104" t="inlineStr">
        <is>
          <t>미즐 카페엠</t>
        </is>
      </c>
      <c r="D184" s="104" t="inlineStr">
        <is>
          <t>루꼴라</t>
        </is>
      </c>
      <c r="E184" s="163">
        <f>VLOOKUP(표1[[#This Row],[작물명]],$K$2:$L$5,2,FALSE)</f>
        <v/>
      </c>
      <c r="F184" s="176" t="n">
        <v>200</v>
      </c>
      <c r="G184" s="176">
        <f>표1[[#This Row],[단가]]*표1[[#This Row],[주문수량(g)]]</f>
        <v/>
      </c>
      <c r="H184" s="177" t="n"/>
      <c r="I184" s="106" t="n"/>
    </row>
    <row r="185" ht="16.5" customHeight="1" s="141">
      <c r="A185" s="21" t="n">
        <v>186</v>
      </c>
      <c r="B185" s="155" t="n">
        <v>46213</v>
      </c>
      <c r="C185" s="96" t="inlineStr">
        <is>
          <t>요요네</t>
        </is>
      </c>
      <c r="D185" s="96" t="inlineStr">
        <is>
          <t>루꼴라</t>
        </is>
      </c>
      <c r="E185" s="178">
        <f>VLOOKUP(표1[[#This Row],[작물명]],$K$2:$L$5,2,FALSE)</f>
        <v/>
      </c>
      <c r="F185" s="175" t="n">
        <v>300</v>
      </c>
      <c r="G185" s="175">
        <f>표1[[#This Row],[단가]]*표1[[#This Row],[주문수량(g)]]</f>
        <v/>
      </c>
    </row>
    <row r="186" ht="16.5" customHeight="1" s="141">
      <c r="A186" s="21" t="n">
        <v>187</v>
      </c>
      <c r="B186" s="155" t="n">
        <v>46217</v>
      </c>
      <c r="C186" s="104" t="inlineStr">
        <is>
          <t>미즐 카페엠</t>
        </is>
      </c>
      <c r="D186" s="104" t="inlineStr">
        <is>
          <t>엽채류</t>
        </is>
      </c>
      <c r="E186" s="163">
        <f>VLOOKUP(표1[[#This Row],[작물명]],$K$2:$L$5,2,FALSE)</f>
        <v/>
      </c>
      <c r="F186" s="176" t="n">
        <v>200</v>
      </c>
      <c r="G186" s="176">
        <f>표1[[#This Row],[단가]]*표1[[#This Row],[주문수량(g)]]</f>
        <v/>
      </c>
      <c r="H186" s="177" t="n"/>
      <c r="I186" s="106" t="inlineStr">
        <is>
          <t>프릴아이스</t>
        </is>
      </c>
    </row>
    <row r="187" ht="16.5" customHeight="1" s="141">
      <c r="A187" s="21" t="n">
        <v>188</v>
      </c>
      <c r="B187" s="155" t="n">
        <v>46217</v>
      </c>
      <c r="C187" s="28" t="inlineStr">
        <is>
          <t>419국수김밥</t>
        </is>
      </c>
      <c r="D187" s="28" t="inlineStr">
        <is>
          <t>루꼴라</t>
        </is>
      </c>
      <c r="E187" s="163">
        <f>VLOOKUP(표1[[#This Row],[작물명]],$K$2:$L$5,2,FALSE)</f>
        <v/>
      </c>
      <c r="F187" s="164" t="n">
        <v>400</v>
      </c>
      <c r="G187" s="164">
        <f>표1[[#This Row],[단가]]*표1[[#This Row],[주문수량(g)]]</f>
        <v/>
      </c>
    </row>
    <row r="188" ht="16.5" customHeight="1" s="141">
      <c r="A188" s="21" t="n">
        <v>189</v>
      </c>
      <c r="B188" s="155" t="n">
        <v>46217</v>
      </c>
      <c r="C188" s="28" t="inlineStr">
        <is>
          <t>재간정</t>
        </is>
      </c>
      <c r="D188" s="28" t="inlineStr">
        <is>
          <t>애플민트</t>
        </is>
      </c>
      <c r="E188" s="163">
        <f>VLOOKUP(표1[[#This Row],[작물명]],$K$2:$L$5,2,FALSE)</f>
        <v/>
      </c>
      <c r="F188" s="164" t="n">
        <v>300</v>
      </c>
      <c r="G188" s="164">
        <f>표1[[#This Row],[단가]]*표1[[#This Row],[주문수량(g)]]</f>
        <v/>
      </c>
    </row>
    <row r="189" ht="16.5" customHeight="1" s="141">
      <c r="A189" s="21" t="n">
        <v>190</v>
      </c>
      <c r="B189" s="155" t="n">
        <v>46219</v>
      </c>
      <c r="C189" s="28" t="inlineStr">
        <is>
          <t>화수브루어리</t>
        </is>
      </c>
      <c r="D189" s="28" t="inlineStr">
        <is>
          <t>루꼴라</t>
        </is>
      </c>
      <c r="E189" s="163">
        <f>VLOOKUP(표1[[#This Row],[작물명]],$K$2:$L$5,2,FALSE)</f>
        <v/>
      </c>
      <c r="F189" s="164" t="n">
        <v>300</v>
      </c>
      <c r="G189" s="164">
        <f>표1[[#This Row],[단가]]*표1[[#This Row],[주문수량(g)]]</f>
        <v/>
      </c>
    </row>
    <row r="190" ht="16.5" customHeight="1" s="141">
      <c r="A190" s="21" t="n">
        <v>191</v>
      </c>
      <c r="B190" s="155" t="n">
        <v>46219</v>
      </c>
      <c r="C190" s="28" t="inlineStr">
        <is>
          <t>까미노</t>
        </is>
      </c>
      <c r="D190" s="28" t="inlineStr">
        <is>
          <t>루꼴라</t>
        </is>
      </c>
      <c r="E190" s="163">
        <f>VLOOKUP(표1[[#This Row],[작물명]],$K$2:$L$5,2,FALSE)</f>
        <v/>
      </c>
      <c r="F190" s="164" t="n">
        <v>700</v>
      </c>
      <c r="G190" s="164">
        <f>표1[[#This Row],[단가]]*표1[[#This Row],[주문수량(g)]]</f>
        <v/>
      </c>
    </row>
    <row r="191" ht="16.5" customHeight="1" s="141">
      <c r="A191" s="21" t="n">
        <v>192</v>
      </c>
      <c r="B191" s="155" t="n">
        <v>46219</v>
      </c>
      <c r="C191" s="21" t="inlineStr">
        <is>
          <t>비르케</t>
        </is>
      </c>
      <c r="D191" s="21" t="inlineStr">
        <is>
          <t>바질</t>
        </is>
      </c>
      <c r="E191" s="163">
        <f>VLOOKUP(표1[[#This Row],[작물명]],$K$2:$L$5,2,FALSE)</f>
        <v/>
      </c>
      <c r="F191" s="157" t="n">
        <v>500</v>
      </c>
      <c r="G191" s="164">
        <f>표1[[#This Row],[단가]]*표1[[#This Row],[주문수량(g)]]</f>
        <v/>
      </c>
    </row>
    <row r="192" ht="16.5" customHeight="1" s="141">
      <c r="A192" s="21" t="n">
        <v>193</v>
      </c>
      <c r="B192" s="155" t="n">
        <v>46224</v>
      </c>
      <c r="C192" s="28" t="inlineStr">
        <is>
          <t>까미노</t>
        </is>
      </c>
      <c r="D192" s="28" t="inlineStr">
        <is>
          <t>루꼴라</t>
        </is>
      </c>
      <c r="E192" s="163">
        <f>VLOOKUP(표1[[#This Row],[작물명]],$K$2:$L$5,2,FALSE)</f>
        <v/>
      </c>
      <c r="F192" s="164" t="n">
        <v>500</v>
      </c>
      <c r="G192" s="164">
        <f>표1[[#This Row],[단가]]*표1[[#This Row],[주문수량(g)]]</f>
        <v/>
      </c>
    </row>
    <row r="193" ht="16.5" customHeight="1" s="141">
      <c r="A193" s="21" t="n">
        <v>194</v>
      </c>
      <c r="B193" s="155" t="n">
        <v>46231</v>
      </c>
      <c r="C193" s="96" t="inlineStr">
        <is>
          <t>까미노</t>
        </is>
      </c>
      <c r="D193" s="96" t="inlineStr">
        <is>
          <t>루꼴라</t>
        </is>
      </c>
      <c r="E193" s="178">
        <f>VLOOKUP(표1[[#This Row],[작물명]],$K$2:$L$5,2,FALSE)</f>
        <v/>
      </c>
      <c r="F193" s="175" t="n">
        <v>500</v>
      </c>
      <c r="G193" s="175">
        <f>표1[[#This Row],[단가]]*표1[[#This Row],[주문수량(g)]]</f>
        <v/>
      </c>
    </row>
    <row r="194" ht="16.5" customHeight="1" s="141">
      <c r="A194" s="21" t="n">
        <v>195</v>
      </c>
      <c r="B194" s="155" t="n">
        <v>46234</v>
      </c>
      <c r="C194" s="96" t="inlineStr">
        <is>
          <t>까미노</t>
        </is>
      </c>
      <c r="D194" s="96" t="inlineStr">
        <is>
          <t>루꼴라</t>
        </is>
      </c>
      <c r="E194" s="178">
        <f>VLOOKUP(표1[[#This Row],[작물명]],$K$2:$L$5,2,FALSE)</f>
        <v/>
      </c>
      <c r="F194" s="175" t="n">
        <v>500</v>
      </c>
      <c r="G194" s="175">
        <f>표1[[#This Row],[단가]]*표1[[#This Row],[주문수량(g)]]</f>
        <v/>
      </c>
    </row>
    <row r="195" ht="16.5" customHeight="1" s="141">
      <c r="A195" s="21" t="n">
        <v>196</v>
      </c>
      <c r="B195" s="155" t="n">
        <v>46238</v>
      </c>
      <c r="C195" s="28" t="inlineStr">
        <is>
          <t>재간정</t>
        </is>
      </c>
      <c r="D195" s="28" t="inlineStr">
        <is>
          <t>애플민트</t>
        </is>
      </c>
      <c r="E195" s="163">
        <f>VLOOKUP(표1[[#This Row],[작물명]],$K$2:$L$5,2,FALSE)</f>
        <v/>
      </c>
      <c r="F195" s="164" t="n">
        <v>500</v>
      </c>
      <c r="G195" s="164">
        <f>표1[[#This Row],[단가]]*표1[[#This Row],[주문수량(g)]]</f>
        <v/>
      </c>
    </row>
    <row r="196" ht="16.5" customHeight="1" s="141">
      <c r="A196" s="21" t="n">
        <v>197</v>
      </c>
      <c r="B196" s="155" t="n">
        <v>46238</v>
      </c>
      <c r="C196" s="28" t="inlineStr">
        <is>
          <t>미즐 카페엠</t>
        </is>
      </c>
      <c r="D196" s="28" t="inlineStr">
        <is>
          <t>엽채류</t>
        </is>
      </c>
      <c r="E196" s="163">
        <f>VLOOKUP(표1[[#This Row],[작물명]],$K$2:$L$5,2,FALSE)</f>
        <v/>
      </c>
      <c r="F196" s="164" t="n">
        <v>200</v>
      </c>
      <c r="G196" s="164">
        <f>표1[[#This Row],[단가]]*표1[[#This Row],[주문수량(g)]]</f>
        <v/>
      </c>
      <c r="I196" s="26" t="inlineStr">
        <is>
          <t>프릴아이스</t>
        </is>
      </c>
    </row>
    <row r="197" ht="16.5" customHeight="1" s="141">
      <c r="A197" s="21" t="n">
        <v>198</v>
      </c>
      <c r="B197" s="155" t="n">
        <v>46238</v>
      </c>
      <c r="C197" s="96" t="inlineStr">
        <is>
          <t>미즐 카페엠</t>
        </is>
      </c>
      <c r="D197" s="96" t="inlineStr">
        <is>
          <t>루꼴라</t>
        </is>
      </c>
      <c r="E197" s="163">
        <f>VLOOKUP(표1[[#This Row],[작물명]],$K$2:$L$5,2,FALSE)</f>
        <v/>
      </c>
      <c r="F197" s="175" t="n">
        <v>200</v>
      </c>
      <c r="G197" s="175">
        <f>표1[[#This Row],[단가]]*표1[[#This Row],[주문수량(g)]]</f>
        <v/>
      </c>
    </row>
    <row r="198" ht="16.5" customHeight="1" s="141">
      <c r="A198" s="21" t="n">
        <v>199</v>
      </c>
      <c r="B198" s="155" t="n">
        <v>46238</v>
      </c>
      <c r="C198" s="28" t="inlineStr">
        <is>
          <t>화수브루어리</t>
        </is>
      </c>
      <c r="D198" s="28" t="inlineStr">
        <is>
          <t>루꼴라</t>
        </is>
      </c>
      <c r="E198" s="163">
        <f>VLOOKUP(표1[[#This Row],[작물명]],$K$2:$L$5,2,FALSE)</f>
        <v/>
      </c>
      <c r="F198" s="164" t="n">
        <v>300</v>
      </c>
      <c r="G198" s="164">
        <f>표1[[#This Row],[단가]]*표1[[#This Row],[주문수량(g)]]</f>
        <v/>
      </c>
    </row>
    <row r="199" ht="16.5" customHeight="1" s="141">
      <c r="A199" s="21" t="n">
        <v>200</v>
      </c>
      <c r="B199" s="155" t="n">
        <v>46238</v>
      </c>
      <c r="C199" s="96" t="inlineStr">
        <is>
          <t>까미노</t>
        </is>
      </c>
      <c r="D199" s="96" t="inlineStr">
        <is>
          <t>루꼴라</t>
        </is>
      </c>
      <c r="E199" s="178">
        <f>VLOOKUP(표1[[#This Row],[작물명]],$K$2:$L$5,2,FALSE)</f>
        <v/>
      </c>
      <c r="F199" s="175" t="n">
        <v>500</v>
      </c>
      <c r="G199" s="175">
        <f>표1[[#This Row],[단가]]*표1[[#This Row],[주문수량(g)]]</f>
        <v/>
      </c>
    </row>
    <row r="200" ht="16.5" customHeight="1" s="141">
      <c r="A200" s="21" t="n">
        <v>201</v>
      </c>
      <c r="B200" s="155" t="n">
        <v>46241</v>
      </c>
      <c r="C200" s="28" t="inlineStr">
        <is>
          <t>419국수김밥</t>
        </is>
      </c>
      <c r="D200" s="28" t="inlineStr">
        <is>
          <t>루꼴라</t>
        </is>
      </c>
      <c r="E200" s="163">
        <f>VLOOKUP(표1[[#This Row],[작물명]],$K$2:$L$5,2,FALSE)</f>
        <v/>
      </c>
      <c r="F200" s="164" t="n">
        <v>300</v>
      </c>
      <c r="G200" s="164">
        <f>표1[[#This Row],[단가]]*표1[[#This Row],[주문수량(g)]]</f>
        <v/>
      </c>
    </row>
    <row r="201" ht="16.5" customHeight="1" s="141">
      <c r="A201" s="21" t="n">
        <v>202</v>
      </c>
      <c r="B201" s="155" t="n">
        <v>46241</v>
      </c>
      <c r="C201" s="21" t="inlineStr">
        <is>
          <t>크을농</t>
        </is>
      </c>
      <c r="D201" s="21" t="inlineStr">
        <is>
          <t>바질</t>
        </is>
      </c>
      <c r="E201" s="163">
        <f>VLOOKUP(표1[[#This Row],[작물명]],$K$2:$L$5,2,FALSE)</f>
        <v/>
      </c>
      <c r="F201" s="157" t="n">
        <v>2000</v>
      </c>
      <c r="G201" s="164">
        <f>표1[[#This Row],[단가]]*표1[[#This Row],[주문수량(g)]]</f>
        <v/>
      </c>
    </row>
    <row r="202" ht="16.5" customHeight="1" s="141">
      <c r="A202" s="21" t="n">
        <v>203</v>
      </c>
      <c r="B202" s="155" t="n">
        <v>46241</v>
      </c>
      <c r="C202" s="21" t="inlineStr">
        <is>
          <t>비르케</t>
        </is>
      </c>
      <c r="D202" s="21" t="inlineStr">
        <is>
          <t>바질</t>
        </is>
      </c>
      <c r="E202" s="163">
        <f>VLOOKUP(표1[[#This Row],[작물명]],$K$2:$L$5,2,FALSE)</f>
        <v/>
      </c>
      <c r="F202" s="157" t="n">
        <v>2000</v>
      </c>
      <c r="G202" s="164">
        <f>표1[[#This Row],[단가]]*표1[[#This Row],[주문수량(g)]]</f>
        <v/>
      </c>
    </row>
    <row r="203" ht="16.5" customHeight="1" s="141">
      <c r="A203" s="21" t="n">
        <v>204</v>
      </c>
      <c r="B203" s="155" t="n">
        <v>46268</v>
      </c>
      <c r="C203" s="21" t="inlineStr">
        <is>
          <t>크을농</t>
        </is>
      </c>
      <c r="D203" s="28" t="inlineStr">
        <is>
          <t>루꼴라</t>
        </is>
      </c>
      <c r="E203" s="163">
        <f>VLOOKUP(표1[[#This Row],[작물명]],$K$2:$L$5,2,FALSE)</f>
        <v/>
      </c>
      <c r="F203" s="157" t="n">
        <v>2000</v>
      </c>
      <c r="G203" s="164">
        <f>표1[[#This Row],[단가]]*표1[[#This Row],[주문수량(g)]]</f>
        <v/>
      </c>
    </row>
    <row r="204" ht="16.5" customHeight="1" s="141">
      <c r="A204" s="21" t="n">
        <v>205</v>
      </c>
      <c r="B204" s="155" t="n">
        <v>46268</v>
      </c>
      <c r="C204" s="28" t="inlineStr">
        <is>
          <t>까미노</t>
        </is>
      </c>
      <c r="D204" s="28" t="inlineStr">
        <is>
          <t>루꼴라</t>
        </is>
      </c>
      <c r="E204" s="163">
        <f>VLOOKUP(표1[[#This Row],[작물명]],$K$2:$L$5,2,FALSE)</f>
        <v/>
      </c>
      <c r="F204" s="164" t="n">
        <v>2000</v>
      </c>
      <c r="G204" s="164">
        <f>표1[[#This Row],[단가]]*표1[[#This Row],[주문수량(g)]]</f>
        <v/>
      </c>
    </row>
    <row r="205" ht="16.5" customHeight="1" s="141">
      <c r="A205" s="21" t="n">
        <v>206</v>
      </c>
      <c r="B205" s="155" t="n">
        <v>46268</v>
      </c>
      <c r="C205" s="28" t="inlineStr">
        <is>
          <t>419국수김밥</t>
        </is>
      </c>
      <c r="D205" s="28" t="inlineStr">
        <is>
          <t>루꼴라</t>
        </is>
      </c>
      <c r="E205" s="163">
        <f>VLOOKUP(표1[[#This Row],[작물명]],$K$2:$L$5,2,FALSE)</f>
        <v/>
      </c>
      <c r="F205" s="164" t="n">
        <v>2000</v>
      </c>
      <c r="G205" s="164">
        <f>표1[[#This Row],[단가]]*표1[[#This Row],[주문수량(g)]]</f>
        <v/>
      </c>
    </row>
    <row r="206" ht="16.5" customHeight="1" s="141">
      <c r="A206" s="21" t="n">
        <v>207</v>
      </c>
      <c r="B206" s="155" t="n">
        <v>46273</v>
      </c>
      <c r="C206" s="28" t="inlineStr">
        <is>
          <t>미즐 카페엠</t>
        </is>
      </c>
      <c r="D206" s="28" t="inlineStr">
        <is>
          <t>엽채류</t>
        </is>
      </c>
      <c r="E206" s="163">
        <f>VLOOKUP(표1[[#This Row],[작물명]],$K$2:$L$5,2,FALSE)</f>
        <v/>
      </c>
      <c r="F206" s="164" t="n">
        <v>300</v>
      </c>
      <c r="G206" s="164">
        <f>표1[[#This Row],[단가]]*표1[[#This Row],[주문수량(g)]]</f>
        <v/>
      </c>
      <c r="I206" s="26" t="inlineStr">
        <is>
          <t>프릴아이스</t>
        </is>
      </c>
    </row>
    <row r="207" ht="16.5" customHeight="1" s="141">
      <c r="A207" s="21" t="n">
        <v>208</v>
      </c>
      <c r="B207" s="155" t="n">
        <v>46276</v>
      </c>
      <c r="C207" s="28" t="inlineStr">
        <is>
          <t>까미노</t>
        </is>
      </c>
      <c r="D207" s="28" t="inlineStr">
        <is>
          <t>루꼴라</t>
        </is>
      </c>
      <c r="E207" s="163">
        <f>VLOOKUP(표1[[#This Row],[작물명]],$K$2:$L$5,2,FALSE)</f>
        <v/>
      </c>
      <c r="F207" s="164" t="n">
        <v>500</v>
      </c>
      <c r="G207" s="164">
        <f>표1[[#This Row],[단가]]*표1[[#This Row],[주문수량(g)]]</f>
        <v/>
      </c>
    </row>
    <row r="208" ht="16.5" customHeight="1" s="141">
      <c r="A208" s="21" t="n">
        <v>209</v>
      </c>
      <c r="B208" s="155" t="n">
        <v>46282</v>
      </c>
      <c r="C208" s="21" t="inlineStr">
        <is>
          <t>크을농</t>
        </is>
      </c>
      <c r="D208" s="28" t="inlineStr">
        <is>
          <t>루꼴라</t>
        </is>
      </c>
      <c r="E208" s="163">
        <f>VLOOKUP(표1[[#This Row],[작물명]],$K$2:$L$5,2,FALSE)</f>
        <v/>
      </c>
      <c r="F208" s="157" t="n">
        <v>1000</v>
      </c>
      <c r="G208" s="164">
        <f>표1[[#This Row],[단가]]*표1[[#This Row],[주문수량(g)]]</f>
        <v/>
      </c>
    </row>
    <row r="209" ht="16.5" customHeight="1" s="141">
      <c r="A209" s="21" t="n">
        <v>210</v>
      </c>
      <c r="B209" s="155" t="n">
        <v>46287</v>
      </c>
      <c r="C209" s="28" t="inlineStr">
        <is>
          <t>미즐 카페엠</t>
        </is>
      </c>
      <c r="D209" s="28" t="inlineStr">
        <is>
          <t>엽채류</t>
        </is>
      </c>
      <c r="E209" s="163">
        <f>VLOOKUP(표1[[#This Row],[작물명]],$K$2:$L$5,2,FALSE)</f>
        <v/>
      </c>
      <c r="F209" s="164" t="n">
        <v>400</v>
      </c>
      <c r="G209" s="164">
        <f>표1[[#This Row],[단가]]*표1[[#This Row],[주문수량(g)]]</f>
        <v/>
      </c>
      <c r="I209" s="26" t="inlineStr">
        <is>
          <t>프릴아이스/이자트릭스</t>
        </is>
      </c>
    </row>
    <row r="210" ht="16.5" customHeight="1" s="141">
      <c r="A210" s="21" t="n">
        <v>211</v>
      </c>
      <c r="B210" s="155" t="n">
        <v>46287</v>
      </c>
      <c r="C210" s="96" t="inlineStr">
        <is>
          <t>미즐 카페엠</t>
        </is>
      </c>
      <c r="D210" s="96" t="inlineStr">
        <is>
          <t>루꼴라</t>
        </is>
      </c>
      <c r="E210" s="163">
        <f>VLOOKUP(표1[[#This Row],[작물명]],$K$2:$L$5,2,FALSE)</f>
        <v/>
      </c>
      <c r="F210" s="175" t="n">
        <v>200</v>
      </c>
      <c r="G210" s="175">
        <f>표1[[#This Row],[단가]]*표1[[#This Row],[주문수량(g)]]</f>
        <v/>
      </c>
    </row>
    <row r="211" ht="16.5" customHeight="1" s="141">
      <c r="A211" s="21" t="n">
        <v>212</v>
      </c>
      <c r="B211" s="155" t="n">
        <v>46287</v>
      </c>
      <c r="C211" s="28" t="inlineStr">
        <is>
          <t>까미노</t>
        </is>
      </c>
      <c r="D211" s="28" t="inlineStr">
        <is>
          <t>루꼴라</t>
        </is>
      </c>
      <c r="E211" s="163">
        <f>VLOOKUP(표1[[#This Row],[작물명]],$K$2:$L$5,2,FALSE)</f>
        <v/>
      </c>
      <c r="F211" s="164" t="n">
        <v>1000</v>
      </c>
      <c r="G211" s="164">
        <f>표1[[#This Row],[단가]]*표1[[#This Row],[주문수량(g)]]</f>
        <v/>
      </c>
    </row>
    <row r="212" ht="16.5" customHeight="1" s="141">
      <c r="A212" s="21" t="n">
        <v>213</v>
      </c>
      <c r="B212" s="155" t="n">
        <v>46294</v>
      </c>
      <c r="C212" s="28" t="inlineStr">
        <is>
          <t>미즐 카페엠</t>
        </is>
      </c>
      <c r="D212" s="28" t="inlineStr">
        <is>
          <t>엽채류</t>
        </is>
      </c>
      <c r="E212" s="163">
        <f>VLOOKUP(표1[[#This Row],[작물명]],$K$2:$L$5,2,FALSE)</f>
        <v/>
      </c>
      <c r="F212" s="164" t="n">
        <v>200</v>
      </c>
      <c r="G212" s="164">
        <f>표1[[#This Row],[단가]]*표1[[#This Row],[주문수량(g)]]</f>
        <v/>
      </c>
      <c r="I212" s="26" t="inlineStr">
        <is>
          <t>프릴아이스/이자트릭스</t>
        </is>
      </c>
    </row>
    <row r="213" ht="16.5" customHeight="1" s="141">
      <c r="A213" s="21" t="n">
        <v>214</v>
      </c>
      <c r="B213" s="155" t="n">
        <v>46294</v>
      </c>
      <c r="C213" s="96" t="inlineStr">
        <is>
          <t>미즐 카페엠</t>
        </is>
      </c>
      <c r="D213" s="96" t="inlineStr">
        <is>
          <t>루꼴라</t>
        </is>
      </c>
      <c r="E213" s="163">
        <f>VLOOKUP(표1[[#This Row],[작물명]],$K$2:$L$5,2,FALSE)</f>
        <v/>
      </c>
      <c r="F213" s="175" t="n">
        <v>100</v>
      </c>
      <c r="G213" s="175">
        <f>표1[[#This Row],[단가]]*표1[[#This Row],[주문수량(g)]]</f>
        <v/>
      </c>
    </row>
    <row r="214" ht="16.5" customHeight="1" s="141">
      <c r="A214" s="21" t="n">
        <v>215</v>
      </c>
      <c r="B214" s="155" t="n">
        <v>46294</v>
      </c>
      <c r="C214" s="28" t="inlineStr">
        <is>
          <t>까미노</t>
        </is>
      </c>
      <c r="D214" s="28" t="inlineStr">
        <is>
          <t>루꼴라</t>
        </is>
      </c>
      <c r="E214" s="163">
        <f>VLOOKUP(표1[[#This Row],[작물명]],$K$2:$L$5,2,FALSE)</f>
        <v/>
      </c>
      <c r="F214" s="164" t="n">
        <v>700</v>
      </c>
      <c r="G214" s="164">
        <f>표1[[#This Row],[단가]]*표1[[#This Row],[주문수량(g)]]</f>
        <v/>
      </c>
    </row>
    <row r="215" ht="16.5" customHeight="1" s="141">
      <c r="A215" s="21" t="n">
        <v>216</v>
      </c>
      <c r="B215" s="155" t="n">
        <v>46294</v>
      </c>
      <c r="C215" s="28" t="inlineStr">
        <is>
          <t>419국수김밥</t>
        </is>
      </c>
      <c r="D215" s="28" t="inlineStr">
        <is>
          <t>루꼴라</t>
        </is>
      </c>
      <c r="E215" s="163">
        <f>VLOOKUP(표1[[#This Row],[작물명]],$K$2:$L$5,2,FALSE)</f>
        <v/>
      </c>
      <c r="F215" s="164" t="n">
        <v>300</v>
      </c>
      <c r="G215" s="164">
        <f>표1[[#This Row],[단가]]*표1[[#This Row],[주문수량(g)]]</f>
        <v/>
      </c>
    </row>
    <row r="216" ht="16.5" customHeight="1" s="141">
      <c r="A216" s="21" t="n">
        <v>217</v>
      </c>
      <c r="B216" s="155" t="n">
        <v>46297</v>
      </c>
      <c r="C216" s="28" t="inlineStr">
        <is>
          <t>미즐 카페엠</t>
        </is>
      </c>
      <c r="D216" s="28" t="inlineStr">
        <is>
          <t>엽채류</t>
        </is>
      </c>
      <c r="E216" s="163">
        <f>VLOOKUP(표1[[#This Row],[작물명]],$K$2:$L$5,2,FALSE)</f>
        <v/>
      </c>
      <c r="F216" s="164" t="n">
        <v>200</v>
      </c>
      <c r="G216" s="164">
        <f>표1[[#This Row],[단가]]*표1[[#This Row],[주문수량(g)]]</f>
        <v/>
      </c>
      <c r="I216" s="26" t="inlineStr">
        <is>
          <t>프릴아이스</t>
        </is>
      </c>
    </row>
    <row r="217" ht="16.5" customHeight="1" s="141">
      <c r="A217" s="21" t="n">
        <v>218</v>
      </c>
      <c r="B217" s="155" t="n">
        <v>46297</v>
      </c>
      <c r="C217" s="96" t="inlineStr">
        <is>
          <t>미즐 카페엠</t>
        </is>
      </c>
      <c r="D217" s="96" t="inlineStr">
        <is>
          <t>루꼴라</t>
        </is>
      </c>
      <c r="E217" s="163">
        <f>VLOOKUP(표1[[#This Row],[작물명]],$K$2:$L$5,2,FALSE)</f>
        <v/>
      </c>
      <c r="F217" s="175" t="n">
        <v>200</v>
      </c>
      <c r="G217" s="175">
        <f>표1[[#This Row],[단가]]*표1[[#This Row],[주문수량(g)]]</f>
        <v/>
      </c>
    </row>
    <row r="218" ht="16.5" customHeight="1" s="141">
      <c r="A218" s="21" t="n">
        <v>219</v>
      </c>
      <c r="B218" s="155" t="n">
        <v>46297</v>
      </c>
      <c r="C218" s="28" t="inlineStr">
        <is>
          <t>까미노</t>
        </is>
      </c>
      <c r="D218" s="28" t="inlineStr">
        <is>
          <t>루꼴라</t>
        </is>
      </c>
      <c r="E218" s="163">
        <f>VLOOKUP(표1[[#This Row],[작물명]],$K$2:$L$5,2,FALSE)</f>
        <v/>
      </c>
      <c r="F218" s="164" t="n">
        <v>1200</v>
      </c>
      <c r="G218" s="164">
        <f>표1[[#This Row],[단가]]*표1[[#This Row],[주문수량(g)]]</f>
        <v/>
      </c>
    </row>
    <row r="219" ht="16.5" customHeight="1" s="141">
      <c r="A219" s="21" t="n">
        <v>220</v>
      </c>
      <c r="B219" s="155" t="n">
        <v>46301</v>
      </c>
      <c r="C219" s="28" t="inlineStr">
        <is>
          <t>419국수김밥</t>
        </is>
      </c>
      <c r="D219" s="28" t="inlineStr">
        <is>
          <t>루꼴라</t>
        </is>
      </c>
      <c r="E219" s="163">
        <f>VLOOKUP(표1[[#This Row],[작물명]],$K$2:$L$5,2,FALSE)</f>
        <v/>
      </c>
      <c r="F219" s="164" t="n">
        <v>400</v>
      </c>
      <c r="G219" s="164">
        <f>표1[[#This Row],[단가]]*표1[[#This Row],[주문수량(g)]]</f>
        <v/>
      </c>
    </row>
    <row r="220" ht="16.5" customHeight="1" s="141">
      <c r="A220" t="n">
        <v>219</v>
      </c>
      <c r="B220" s="195" t="n">
        <v>46304</v>
      </c>
      <c r="C220" t="inlineStr">
        <is>
          <t>화수브루어리</t>
        </is>
      </c>
      <c r="D220" t="inlineStr">
        <is>
          <t>루꼴라</t>
        </is>
      </c>
      <c r="E220" t="n">
        <v>17.7</v>
      </c>
      <c r="F220" t="n">
        <v>300</v>
      </c>
      <c r="G220" t="n">
        <v>5310</v>
      </c>
      <c r="H220" s="195" t="n">
        <v>46304</v>
      </c>
    </row>
    <row r="221" ht="16.5" customHeight="1" s="141">
      <c r="A221" s="21" t="n">
        <v>222</v>
      </c>
      <c r="B221" s="155" t="n">
        <v>46304</v>
      </c>
      <c r="C221" s="28" t="inlineStr">
        <is>
          <t>까미노</t>
        </is>
      </c>
      <c r="D221" s="28" t="inlineStr">
        <is>
          <t>루꼴라</t>
        </is>
      </c>
      <c r="E221" s="163">
        <f>VLOOKUP(표1[[#This Row],[작물명]],$K$2:$L$5,2,FALSE)</f>
        <v/>
      </c>
      <c r="F221" s="164" t="n">
        <v>1200</v>
      </c>
      <c r="G221" s="164">
        <f>표1[[#This Row],[단가]]*표1[[#This Row],[주문수량(g)]]</f>
        <v/>
      </c>
    </row>
    <row r="222" ht="16.5" customHeight="1" s="141"/>
    <row r="223" ht="16.5" customHeight="1" s="141"/>
    <row r="224" ht="16.5" customHeight="1" s="141"/>
    <row r="225" ht="16.5" customHeight="1" s="141"/>
  </sheetData>
  <conditionalFormatting sqref="A2:I991">
    <cfRule type="expression" priority="1" dxfId="0">
      <formula>AND($B2&lt;&gt;"", $B2&lt;TODAY())</formula>
    </cfRule>
  </conditionalFormatting>
  <pageMargins left="0.7" right="0.7" top="0.75" bottom="0.75" header="0.3" footer="0.3"/>
  <pageSetup orientation="portrait" paperSize="9"/>
  <headerFooter>
    <oddHeader>&amp;L&amp;C&amp;R</oddHeader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zoomScale="115" workbookViewId="0">
      <selection activeCell="C3" sqref="C3:H3"/>
    </sheetView>
  </sheetViews>
  <sheetFormatPr baseColWidth="8" defaultColWidth="9.125" defaultRowHeight="16.5" customHeight="1"/>
  <cols>
    <col width="14.25" customWidth="1" style="141" min="1" max="1"/>
    <col width="11.25" customWidth="1" style="141" min="8" max="8"/>
  </cols>
  <sheetData>
    <row r="1" ht="42.75" customHeight="1" s="141">
      <c r="B1" s="42" t="inlineStr">
        <is>
          <t>납품확인서</t>
        </is>
      </c>
      <c r="C1" s="42" t="n"/>
      <c r="D1" s="42" t="n"/>
      <c r="E1" s="42" t="n"/>
      <c r="F1" s="42" t="n"/>
      <c r="G1" s="42" t="n"/>
    </row>
    <row r="2" ht="24.75" customHeight="1" s="141">
      <c r="B2" s="43" t="n"/>
      <c r="C2" s="43" t="n"/>
      <c r="D2" s="43" t="n"/>
      <c r="E2" s="43" t="n"/>
      <c r="F2" s="43" t="n"/>
      <c r="G2" s="43" t="n"/>
      <c r="H2" s="101" t="n">
        <v>222</v>
      </c>
    </row>
    <row r="3" ht="42" customHeight="1" s="141">
      <c r="A3" s="44" t="inlineStr">
        <is>
          <t>납품일자</t>
        </is>
      </c>
      <c r="B3" s="98" t="n"/>
      <c r="C3" s="179">
        <f>VLOOKUP(H2,납품대장!$A$2:$G$225,2,FALSE)</f>
        <v/>
      </c>
      <c r="D3" s="153" t="n"/>
      <c r="E3" s="153" t="n"/>
      <c r="F3" s="153" t="n"/>
      <c r="G3" s="153" t="n"/>
      <c r="H3" s="154" t="n"/>
    </row>
    <row r="4" ht="42" customHeight="1" s="141">
      <c r="A4" s="44" t="inlineStr">
        <is>
          <t>물 품 명</t>
        </is>
      </c>
      <c r="B4" s="44" t="n"/>
      <c r="C4" s="99">
        <f>IFERROR(VLOOKUP(H2,납품대장!$A$2:$I$225,4,FALSE),"") &amp;
IFERROR(IF(VLOOKUP(H2,납품대장!$A$2:$I$225,9,FALSE)="","",
"(" &amp; VLOOKUP(H2,납품대장!$A$2:$I$225,9,FALSE) &amp; ")"),"")</f>
        <v/>
      </c>
      <c r="D4" s="100" t="n"/>
      <c r="E4" s="100" t="n"/>
      <c r="F4" s="100" t="n"/>
      <c r="G4" s="100" t="n"/>
      <c r="H4" s="100" t="n"/>
    </row>
    <row r="5" ht="42" customHeight="1" s="141">
      <c r="A5" s="44" t="inlineStr">
        <is>
          <t>납품수량</t>
        </is>
      </c>
      <c r="B5" s="44" t="n"/>
      <c r="C5" s="93">
        <f>VLOOKUP(H2,납품대장!$A$2:$G$225,6,FALSE)&amp;"g"</f>
        <v/>
      </c>
      <c r="D5" s="46" t="n"/>
      <c r="E5" s="46" t="n"/>
      <c r="F5" s="46" t="n"/>
      <c r="G5" s="46" t="n"/>
      <c r="H5" s="46" t="n"/>
    </row>
    <row r="6" ht="42" customHeight="1" s="141">
      <c r="A6" s="44" t="inlineStr">
        <is>
          <t>금      액</t>
        </is>
      </c>
      <c r="B6" s="44" t="n"/>
      <c r="C6" s="180">
        <f>VLOOKUP(H2,납품대장!$A$2:$G$225,7,FALSE)</f>
        <v/>
      </c>
      <c r="D6" s="153" t="n"/>
      <c r="E6" s="153" t="n"/>
      <c r="F6" s="153" t="n"/>
      <c r="G6" s="153" t="n"/>
      <c r="H6" s="154" t="n"/>
    </row>
    <row r="7" ht="42.75" customHeight="1" s="141">
      <c r="A7" s="47" t="inlineStr">
        <is>
          <t>위와 같이 정히 수령하였음을 확인함.</t>
        </is>
      </c>
      <c r="B7" s="47" t="n"/>
      <c r="C7" s="47" t="n"/>
      <c r="D7" s="47" t="n"/>
      <c r="E7" s="47" t="n"/>
      <c r="F7" s="47" t="n"/>
      <c r="G7" s="47" t="n"/>
      <c r="H7" s="47" t="n"/>
    </row>
    <row r="8" ht="24.75" customHeight="1" s="141">
      <c r="A8" s="47" t="n"/>
      <c r="B8" s="47" t="n"/>
      <c r="C8" s="47" t="n"/>
      <c r="D8" s="47" t="n"/>
      <c r="E8" s="47" t="n"/>
      <c r="F8" s="131" t="inlineStr">
        <is>
          <t>업소명</t>
        </is>
      </c>
      <c r="G8" s="94">
        <f>VLOOKUP(H2,납품대장!$A$2:$G$225,3,FALSE)</f>
        <v/>
      </c>
    </row>
    <row r="9" ht="24.75" customHeight="1" s="141">
      <c r="A9" s="48" t="n"/>
      <c r="B9" s="48" t="n"/>
      <c r="C9" s="48" t="n"/>
      <c r="D9" s="48" t="n"/>
      <c r="E9" s="48" t="n"/>
      <c r="F9" s="131" t="inlineStr">
        <is>
          <t>확인자</t>
        </is>
      </c>
      <c r="H9" s="49" t="inlineStr">
        <is>
          <t>박   기   남       (인)</t>
        </is>
      </c>
    </row>
    <row r="10" ht="24.75" customHeight="1" s="141">
      <c r="A10" s="50" t="n"/>
      <c r="B10" s="50" t="n"/>
      <c r="C10" s="50" t="n"/>
      <c r="D10" s="50" t="n"/>
      <c r="E10" s="50" t="n"/>
      <c r="F10" s="50" t="n"/>
      <c r="G10" s="50" t="n"/>
      <c r="H10" s="51" t="n"/>
    </row>
    <row r="11" ht="42.75" customHeight="1" s="141"/>
    <row r="12" ht="42.75" customHeight="1" s="141">
      <c r="B12" s="42" t="inlineStr">
        <is>
          <t>납품확인서</t>
        </is>
      </c>
      <c r="C12" s="42" t="n"/>
      <c r="D12" s="42" t="n"/>
      <c r="E12" s="42" t="n"/>
      <c r="F12" s="42" t="n"/>
      <c r="G12" s="42" t="n"/>
    </row>
    <row r="13" ht="21.75" customHeight="1" s="141">
      <c r="B13" s="43" t="n"/>
      <c r="C13" s="43" t="n"/>
      <c r="D13" s="43" t="n"/>
      <c r="E13" s="43" t="n"/>
      <c r="F13" s="43" t="n"/>
      <c r="G13" s="43" t="n"/>
      <c r="H13" s="101">
        <f>H2</f>
        <v/>
      </c>
    </row>
    <row r="14" ht="42" customHeight="1" s="141">
      <c r="A14" s="44" t="inlineStr">
        <is>
          <t>납품일자</t>
        </is>
      </c>
      <c r="B14" s="45" t="n"/>
      <c r="C14" s="179">
        <f>+C3</f>
        <v/>
      </c>
      <c r="D14" s="153" t="n"/>
      <c r="E14" s="153" t="n"/>
      <c r="F14" s="153" t="n"/>
      <c r="G14" s="153" t="n"/>
      <c r="H14" s="154" t="n"/>
    </row>
    <row r="15" ht="42" customHeight="1" s="141">
      <c r="A15" s="44" t="inlineStr">
        <is>
          <t>물 품 명</t>
        </is>
      </c>
      <c r="B15" s="44" t="n"/>
      <c r="C15" s="93">
        <f>IFERROR(VLOOKUP(H2,납품대장!$A$2:$I$225,4,FALSE),"") &amp;
IFERROR(IF(VLOOKUP(H2,납품대장!$A$2:$I$225,9,FALSE)="","",
"(" &amp; VLOOKUP(H2,납품대장!$A$2:$I$225,9,FALSE) &amp; ")"),"")</f>
        <v/>
      </c>
      <c r="D15" s="46" t="n"/>
      <c r="E15" s="46" t="n"/>
      <c r="F15" s="46" t="n"/>
      <c r="G15" s="46" t="n"/>
      <c r="H15" s="46" t="n"/>
    </row>
    <row r="16" ht="42" customHeight="1" s="141">
      <c r="A16" s="44" t="inlineStr">
        <is>
          <t>납품수량</t>
        </is>
      </c>
      <c r="B16" s="44" t="n"/>
      <c r="C16" s="93">
        <f>VLOOKUP(H13,납품대장!$A$2:$G$225,6,FALSE)&amp;"g"</f>
        <v/>
      </c>
      <c r="D16" s="46" t="n"/>
      <c r="E16" s="46" t="n"/>
      <c r="F16" s="46" t="n"/>
      <c r="G16" s="46" t="n"/>
      <c r="H16" s="46" t="n"/>
    </row>
    <row r="17" ht="42" customHeight="1" s="141">
      <c r="A17" s="44" t="inlineStr">
        <is>
          <t>금      액</t>
        </is>
      </c>
      <c r="B17" s="44" t="n"/>
      <c r="C17" s="180">
        <f>VLOOKUP(H2,납품대장!$A$2:$G$225,7,FALSE)</f>
        <v/>
      </c>
      <c r="D17" s="153" t="n"/>
      <c r="E17" s="153" t="n"/>
      <c r="F17" s="153" t="n"/>
      <c r="G17" s="153" t="n"/>
      <c r="H17" s="154" t="n"/>
    </row>
    <row r="18" ht="42.75" customHeight="1" s="141">
      <c r="A18" s="47" t="inlineStr">
        <is>
          <t>위와 같이 정히 수령하였음을 확인함.</t>
        </is>
      </c>
      <c r="B18" s="47" t="n"/>
      <c r="C18" s="47" t="n"/>
      <c r="D18" s="47" t="n"/>
      <c r="E18" s="47" t="n"/>
      <c r="F18" s="47" t="n"/>
      <c r="G18" s="47" t="n"/>
      <c r="H18" s="47" t="n"/>
    </row>
    <row r="19" ht="24.75" customHeight="1" s="141">
      <c r="A19" s="47" t="n"/>
      <c r="B19" s="47" t="n"/>
      <c r="C19" s="47" t="n"/>
      <c r="D19" s="47" t="n"/>
      <c r="E19" s="47" t="n"/>
      <c r="F19" s="19" t="inlineStr">
        <is>
          <t>업소명</t>
        </is>
      </c>
      <c r="G19" s="94">
        <f>VLOOKUP(H2,납품대장!$A$2:$G$225,3,FALSE)</f>
        <v/>
      </c>
    </row>
    <row r="20" ht="24.75" customHeight="1" s="141">
      <c r="F20" s="131" t="inlineStr">
        <is>
          <t>확인자</t>
        </is>
      </c>
      <c r="H20" s="49" t="inlineStr">
        <is>
          <t>(인)</t>
        </is>
      </c>
    </row>
  </sheetData>
  <mergeCells count="4">
    <mergeCell ref="C14:H14"/>
    <mergeCell ref="C6:H6"/>
    <mergeCell ref="C17:H17"/>
    <mergeCell ref="C3:H3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/>
  <headerFooter>
    <oddHeader>&amp;L&amp;C&amp;R</oddHeader>
    <oddFooter>&amp;L&amp;C&amp;R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D24" sqref="D24"/>
    </sheetView>
  </sheetViews>
  <sheetFormatPr baseColWidth="8" defaultColWidth="9.125" defaultRowHeight="16.5" customHeight="1"/>
  <cols>
    <col width="12.25" customWidth="1" style="141" min="1" max="1"/>
    <col width="14" customWidth="1" style="141" min="2" max="2"/>
    <col width="18.625" customWidth="1" style="141" min="3" max="3"/>
    <col width="12.625" customWidth="1" style="141" min="4" max="4"/>
    <col width="18.625" customWidth="1" style="141" min="5" max="5"/>
    <col width="12.625" customWidth="1" style="141" min="6" max="6"/>
  </cols>
  <sheetData>
    <row r="1" ht="16.5" customHeight="1" s="141">
      <c r="A1" s="52" t="inlineStr">
        <is>
          <t>업소명</t>
        </is>
      </c>
      <c r="B1" s="53" t="inlineStr">
        <is>
          <t>주소</t>
        </is>
      </c>
      <c r="C1" s="53" t="inlineStr">
        <is>
          <t>메뉴</t>
        </is>
      </c>
      <c r="D1" s="53" t="inlineStr">
        <is>
          <t>가격</t>
        </is>
      </c>
      <c r="E1" s="54" t="inlineStr">
        <is>
          <t>메뉴</t>
        </is>
      </c>
      <c r="F1" s="55" t="inlineStr">
        <is>
          <t>가격</t>
        </is>
      </c>
    </row>
    <row r="2" ht="16.5" customHeight="1" s="141">
      <c r="A2" s="56" t="inlineStr">
        <is>
          <t>419국수김밥</t>
        </is>
      </c>
      <c r="B2" s="57" t="inlineStr">
        <is>
          <t>강북구 4.19로 31</t>
        </is>
      </c>
      <c r="C2" s="58" t="inlineStr">
        <is>
          <t>루꼴라 크림치즈김밥</t>
        </is>
      </c>
      <c r="D2" s="181" t="inlineStr">
        <is>
          <t>5000</t>
        </is>
      </c>
      <c r="E2" s="60" t="n"/>
      <c r="F2" s="182" t="n"/>
    </row>
    <row r="3" ht="16.5" customHeight="1" s="141">
      <c r="A3" s="56" t="inlineStr">
        <is>
          <t>요요네</t>
        </is>
      </c>
      <c r="B3" s="57" t="inlineStr">
        <is>
          <t>강북구 4.19로 16</t>
        </is>
      </c>
      <c r="C3" s="58" t="inlineStr">
        <is>
          <t>루꼴라 반산스</t>
        </is>
      </c>
      <c r="D3" s="181" t="inlineStr">
        <is>
          <t>9000</t>
        </is>
      </c>
      <c r="E3" s="60" t="inlineStr">
        <is>
          <t>루꼴라 감자뢰스티</t>
        </is>
      </c>
      <c r="F3" s="182" t="n">
        <v>100000</v>
      </c>
    </row>
    <row r="4" ht="16.5" customHeight="1" s="141">
      <c r="A4" s="56" t="inlineStr">
        <is>
          <t>까미노</t>
        </is>
      </c>
      <c r="B4" s="57" t="inlineStr">
        <is>
          <t>강북구 4.19로 61</t>
        </is>
      </c>
      <c r="C4" s="58" t="inlineStr">
        <is>
          <t>루꼴라 피자빵</t>
        </is>
      </c>
      <c r="D4" s="181" t="inlineStr">
        <is>
          <t>5500</t>
        </is>
      </c>
      <c r="E4" s="60" t="n"/>
      <c r="F4" s="182" t="n"/>
    </row>
    <row r="5" ht="16.5" customHeight="1" s="141">
      <c r="A5" s="56" t="inlineStr">
        <is>
          <t>미즐 카페엠</t>
        </is>
      </c>
      <c r="B5" s="57" t="inlineStr">
        <is>
          <t>강북구 4.19로 107</t>
        </is>
      </c>
      <c r="C5" s="58" t="inlineStr">
        <is>
          <t>루꼴라 로스트 치킨샐러드</t>
        </is>
      </c>
      <c r="D5" s="181" t="inlineStr">
        <is>
          <t>24000</t>
        </is>
      </c>
      <c r="E5" s="60" t="inlineStr">
        <is>
          <t>루꼴라 부라타치즈 샐러드</t>
        </is>
      </c>
      <c r="F5" s="182" t="n">
        <v>22000</v>
      </c>
    </row>
    <row r="6" ht="16.5" customHeight="1" s="141">
      <c r="A6" s="56" t="inlineStr">
        <is>
          <t>봄타코</t>
        </is>
      </c>
      <c r="B6" s="57" t="inlineStr">
        <is>
          <t>강북구 4.19로 60</t>
        </is>
      </c>
      <c r="C6" s="58" t="inlineStr">
        <is>
          <t>루꼴라 살시치아 타코</t>
        </is>
      </c>
      <c r="D6" s="181" t="inlineStr">
        <is>
          <t>11000</t>
        </is>
      </c>
      <c r="E6" s="60" t="n"/>
      <c r="F6" s="182" t="n"/>
    </row>
    <row r="7" ht="16.5" customHeight="1" s="141">
      <c r="A7" s="56" t="inlineStr">
        <is>
          <t>크을농</t>
        </is>
      </c>
      <c r="B7" s="57" t="inlineStr">
        <is>
          <t>강북구 4.19로 91</t>
        </is>
      </c>
      <c r="C7" s="58" t="inlineStr">
        <is>
          <t>루꼴라 들기름 두부전</t>
        </is>
      </c>
      <c r="D7" s="181" t="inlineStr">
        <is>
          <t>15000</t>
        </is>
      </c>
      <c r="E7" s="60" t="n"/>
      <c r="F7" s="182" t="n"/>
    </row>
    <row r="8" ht="16.5" customHeight="1" s="141">
      <c r="A8" s="56" t="inlineStr">
        <is>
          <t>남해횟집</t>
        </is>
      </c>
      <c r="B8" s="57" t="inlineStr">
        <is>
          <t>강북구 4.19로 40</t>
        </is>
      </c>
      <c r="C8" s="58" t="inlineStr"/>
      <c r="D8" s="181" t="inlineStr"/>
      <c r="E8" s="60" t="n"/>
      <c r="F8" s="182" t="n"/>
    </row>
    <row r="9" ht="16.5" customHeight="1" s="141">
      <c r="A9" s="56" t="inlineStr">
        <is>
          <t>이설함흥냉면</t>
        </is>
      </c>
      <c r="B9" s="57" t="inlineStr">
        <is>
          <t>강북구 4.19로 42</t>
        </is>
      </c>
      <c r="C9" s="58" t="inlineStr"/>
      <c r="D9" s="181" t="inlineStr"/>
      <c r="E9" s="60" t="n"/>
      <c r="F9" s="182" t="n"/>
    </row>
    <row r="10" ht="17.25" customHeight="1" s="141">
      <c r="A10" s="62" t="inlineStr">
        <is>
          <t>화수브루어리</t>
        </is>
      </c>
      <c r="B10" s="63" t="inlineStr">
        <is>
          <t>강북구 인수봉로 238</t>
        </is>
      </c>
      <c r="C10" s="64" t="inlineStr"/>
      <c r="D10" s="183" t="inlineStr"/>
      <c r="E10" s="66" t="n"/>
      <c r="F10" s="184" t="n"/>
    </row>
    <row r="11">
      <c r="A11" s="131" t="inlineStr">
        <is>
          <t>재간정</t>
        </is>
      </c>
      <c r="B11" s="131" t="inlineStr">
        <is>
          <t>강북구 도봉로101길 18</t>
        </is>
      </c>
      <c r="C11" s="131" t="inlineStr"/>
      <c r="D11" s="131" t="inlineStr"/>
    </row>
    <row r="12">
      <c r="A12" s="131" t="inlineStr">
        <is>
          <t>민지네</t>
        </is>
      </c>
      <c r="B12" s="131" t="inlineStr">
        <is>
          <t>강북구 한천로139가길 18 1층</t>
        </is>
      </c>
      <c r="C12" s="131" t="inlineStr"/>
      <c r="D12" s="131" t="inlineStr"/>
    </row>
    <row r="13">
      <c r="A13" s="131" t="inlineStr">
        <is>
          <t>온터</t>
        </is>
      </c>
      <c r="B13" s="131" t="inlineStr">
        <is>
          <t>강북구 인수봉로 310 1층</t>
        </is>
      </c>
      <c r="C13" s="131" t="inlineStr"/>
      <c r="D13" s="131" t="inlineStr"/>
    </row>
    <row r="14">
      <c r="A14" s="131" t="inlineStr">
        <is>
          <t>비르케</t>
        </is>
      </c>
      <c r="B14" s="131" t="inlineStr">
        <is>
          <t>강북구 4.19로 43</t>
        </is>
      </c>
      <c r="C14" s="131" t="inlineStr"/>
      <c r="D14" s="131" t="inlineStr"/>
    </row>
  </sheetData>
  <pageMargins left="0.7" right="0.7" top="0.75" bottom="0.75" header="0.3" footer="0.3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30"/>
  <sheetViews>
    <sheetView workbookViewId="0">
      <selection activeCell="L30" sqref="L30"/>
    </sheetView>
  </sheetViews>
  <sheetFormatPr baseColWidth="8" defaultColWidth="9.125" defaultRowHeight="16.5" customHeight="1"/>
  <cols>
    <col width="11.125" customWidth="1" style="141" min="2" max="2"/>
    <col width="12.25" customWidth="1" style="141" min="3" max="3"/>
    <col width="20.625" customWidth="1" style="141" min="5" max="5"/>
    <col width="13.375" customWidth="1" style="141" min="6" max="6"/>
    <col width="10.625" customWidth="1" style="141" min="7" max="7"/>
    <col width="11.125" customWidth="1" style="141" min="8" max="8"/>
    <col width="12.25" customWidth="1" style="141" min="9" max="9"/>
    <col width="11.125" customWidth="1" style="141" min="12" max="12"/>
    <col width="13" customWidth="1" style="141" min="13" max="13"/>
    <col width="13.375" customWidth="1" style="141" min="15" max="16"/>
    <col width="11.125" customWidth="1" style="141" min="17" max="17"/>
    <col width="11.875" customWidth="1" style="141" min="18" max="18"/>
  </cols>
  <sheetData>
    <row r="1" ht="16.5" customHeight="1" s="141">
      <c r="A1" s="68" t="inlineStr">
        <is>
          <t>연번</t>
        </is>
      </c>
      <c r="B1" s="69" t="inlineStr">
        <is>
          <t>주문일자</t>
        </is>
      </c>
      <c r="C1" s="68" t="inlineStr">
        <is>
          <t>매장명</t>
        </is>
      </c>
      <c r="D1" s="68" t="inlineStr">
        <is>
          <t>작물명</t>
        </is>
      </c>
      <c r="E1" s="68" t="inlineStr">
        <is>
          <t>단가(g)</t>
        </is>
      </c>
      <c r="F1" s="185" t="inlineStr">
        <is>
          <t>주문수량(g)</t>
        </is>
      </c>
      <c r="G1" s="186" t="inlineStr">
        <is>
          <t>금액</t>
        </is>
      </c>
      <c r="H1" s="69" t="inlineStr">
        <is>
          <t>납품일자</t>
        </is>
      </c>
      <c r="I1" s="72" t="inlineStr">
        <is>
          <t>비고</t>
        </is>
      </c>
      <c r="K1" s="68" t="inlineStr">
        <is>
          <t>연번</t>
        </is>
      </c>
      <c r="L1" s="69" t="inlineStr">
        <is>
          <t>주문일자</t>
        </is>
      </c>
      <c r="M1" s="68" t="inlineStr">
        <is>
          <t>매장명</t>
        </is>
      </c>
      <c r="N1" s="68" t="inlineStr">
        <is>
          <t>작물명</t>
        </is>
      </c>
      <c r="O1" s="68" t="inlineStr">
        <is>
          <t>단가(g)</t>
        </is>
      </c>
      <c r="P1" s="185" t="inlineStr">
        <is>
          <t>주문수량(g)</t>
        </is>
      </c>
      <c r="Q1" s="186" t="inlineStr">
        <is>
          <t>금액</t>
        </is>
      </c>
      <c r="R1" s="69" t="inlineStr">
        <is>
          <t>납품일자</t>
        </is>
      </c>
      <c r="S1" s="72" t="inlineStr">
        <is>
          <t>비고</t>
        </is>
      </c>
    </row>
    <row r="2" ht="16.5" customHeight="1" s="141">
      <c r="A2" s="57" t="n">
        <v>1</v>
      </c>
      <c r="B2" s="73" t="n">
        <v>45902</v>
      </c>
      <c r="C2" s="57" t="inlineStr">
        <is>
          <t>419국수김밥</t>
        </is>
      </c>
      <c r="D2" s="57" t="inlineStr">
        <is>
          <t>루꼴라</t>
        </is>
      </c>
      <c r="E2" s="57" t="n">
        <v>17.7</v>
      </c>
      <c r="F2" s="187" t="n">
        <v>500</v>
      </c>
      <c r="G2" s="188" t="n">
        <v>8850</v>
      </c>
      <c r="H2" s="73" t="n">
        <v>45904</v>
      </c>
      <c r="I2" s="58" t="n"/>
      <c r="K2" s="57" t="n">
        <v>4</v>
      </c>
      <c r="L2" s="73" t="n">
        <v>45909</v>
      </c>
      <c r="M2" s="57" t="inlineStr">
        <is>
          <t>봄타코</t>
        </is>
      </c>
      <c r="N2" s="57" t="inlineStr">
        <is>
          <t>루꼴라</t>
        </is>
      </c>
      <c r="O2" s="57" t="n">
        <v>17.7</v>
      </c>
      <c r="P2" s="187" t="n">
        <v>800</v>
      </c>
      <c r="Q2" s="188" t="n">
        <v>14160</v>
      </c>
      <c r="R2" s="73" t="n">
        <v>45911</v>
      </c>
      <c r="S2" s="58" t="n"/>
    </row>
    <row r="3" ht="16.5" customHeight="1" s="141">
      <c r="A3" s="57" t="n">
        <v>2</v>
      </c>
      <c r="B3" s="73" t="n">
        <v>45909</v>
      </c>
      <c r="C3" s="57" t="inlineStr">
        <is>
          <t>419국수김밥</t>
        </is>
      </c>
      <c r="D3" s="57" t="inlineStr">
        <is>
          <t>루꼴라</t>
        </is>
      </c>
      <c r="E3" s="57" t="n">
        <v>17.7</v>
      </c>
      <c r="F3" s="187" t="n">
        <v>500</v>
      </c>
      <c r="G3" s="188" t="n">
        <v>8850</v>
      </c>
      <c r="H3" s="73" t="n">
        <v>45911</v>
      </c>
      <c r="I3" s="58" t="n"/>
      <c r="K3" s="57" t="n">
        <v>5</v>
      </c>
      <c r="L3" s="73" t="n">
        <v>45909</v>
      </c>
      <c r="M3" s="57" t="inlineStr">
        <is>
          <t>봄타코</t>
        </is>
      </c>
      <c r="N3" s="57" t="inlineStr">
        <is>
          <t>루꼴라</t>
        </is>
      </c>
      <c r="O3" s="57" t="n">
        <v>17.7</v>
      </c>
      <c r="P3" s="187" t="n">
        <v>200</v>
      </c>
      <c r="Q3" s="188" t="n">
        <v>0</v>
      </c>
      <c r="R3" s="73" t="n">
        <v>45911</v>
      </c>
      <c r="S3" s="58" t="inlineStr">
        <is>
          <t>시식용</t>
        </is>
      </c>
    </row>
    <row r="4" ht="16.5" customHeight="1" s="141">
      <c r="A4" s="57" t="n">
        <v>3</v>
      </c>
      <c r="B4" s="73" t="n">
        <v>45918</v>
      </c>
      <c r="C4" s="57" t="inlineStr">
        <is>
          <t>419국수김밥</t>
        </is>
      </c>
      <c r="D4" s="57" t="inlineStr">
        <is>
          <t>루꼴라</t>
        </is>
      </c>
      <c r="E4" s="57" t="n">
        <v>17.7</v>
      </c>
      <c r="F4" s="187" t="n">
        <v>500</v>
      </c>
      <c r="G4" s="188" t="n">
        <v>8850</v>
      </c>
      <c r="H4" s="73" t="n">
        <v>45919</v>
      </c>
      <c r="I4" s="58" t="n"/>
      <c r="K4" s="57" t="n">
        <v>19</v>
      </c>
      <c r="L4" s="73" t="n">
        <v>45918</v>
      </c>
      <c r="M4" s="57" t="inlineStr">
        <is>
          <t>봄타코</t>
        </is>
      </c>
      <c r="N4" s="57" t="inlineStr">
        <is>
          <t>루꼴라</t>
        </is>
      </c>
      <c r="O4" s="57" t="n">
        <v>17.7</v>
      </c>
      <c r="P4" s="187" t="n">
        <v>500</v>
      </c>
      <c r="Q4" s="188" t="n">
        <v>8850</v>
      </c>
      <c r="R4" s="73" t="n">
        <v>45919</v>
      </c>
      <c r="S4" s="58" t="n"/>
    </row>
    <row r="5" ht="16.5" customHeight="1" s="141">
      <c r="A5" s="57" t="n">
        <v>4</v>
      </c>
      <c r="B5" s="73" t="n">
        <v>45918</v>
      </c>
      <c r="C5" s="57" t="inlineStr">
        <is>
          <t>419국수김밥</t>
        </is>
      </c>
      <c r="D5" s="57" t="n"/>
      <c r="E5" s="57" t="n"/>
      <c r="F5" s="187" t="n"/>
      <c r="G5" s="188" t="n">
        <v>-10000</v>
      </c>
      <c r="H5" s="73" t="n"/>
      <c r="I5" s="58" t="inlineStr">
        <is>
          <t>기자 인터뷰 시식(김밥 2줄)</t>
        </is>
      </c>
      <c r="K5" s="57" t="n">
        <v>24</v>
      </c>
      <c r="L5" s="73" t="n">
        <v>45918</v>
      </c>
      <c r="M5" s="57" t="inlineStr">
        <is>
          <t>봄타코</t>
        </is>
      </c>
      <c r="N5" s="57" t="n"/>
      <c r="O5" s="57" t="n"/>
      <c r="P5" s="187" t="n"/>
      <c r="Q5" s="188" t="n">
        <v>-11000</v>
      </c>
      <c r="R5" s="73" t="n"/>
      <c r="S5" s="58" t="inlineStr">
        <is>
          <t>기자 인터뷰 시식(타코 1개)</t>
        </is>
      </c>
    </row>
    <row r="6" ht="16.5" customHeight="1" s="141">
      <c r="A6" s="76" t="inlineStr">
        <is>
          <t>계</t>
        </is>
      </c>
      <c r="B6" s="76" t="n"/>
      <c r="C6" s="76" t="n"/>
      <c r="D6" s="76" t="n"/>
      <c r="E6" s="76" t="n"/>
      <c r="F6" s="76" t="n"/>
      <c r="G6" s="189">
        <f>SUM(G2:G5)-G5</f>
        <v/>
      </c>
      <c r="H6" s="78" t="n"/>
      <c r="I6" s="78" t="n"/>
      <c r="K6" s="57" t="n">
        <v>28</v>
      </c>
      <c r="L6" s="73" t="n">
        <v>45925</v>
      </c>
      <c r="M6" s="57" t="inlineStr">
        <is>
          <t>봄타코</t>
        </is>
      </c>
      <c r="N6" s="57" t="inlineStr">
        <is>
          <t>루꼴라</t>
        </is>
      </c>
      <c r="O6" s="57" t="n">
        <v>17.7</v>
      </c>
      <c r="P6" s="187" t="n">
        <v>500</v>
      </c>
      <c r="Q6" s="188" t="n">
        <v>8850</v>
      </c>
      <c r="R6" s="73" t="n">
        <v>45926</v>
      </c>
      <c r="S6" s="58" t="n"/>
    </row>
    <row r="7" ht="16.5" customHeight="1" s="141">
      <c r="K7" s="76" t="inlineStr">
        <is>
          <t>계</t>
        </is>
      </c>
      <c r="L7" s="76" t="n"/>
      <c r="M7" s="76" t="n"/>
      <c r="N7" s="76" t="n"/>
      <c r="O7" s="76" t="n"/>
      <c r="P7" s="76" t="n"/>
      <c r="Q7" s="189">
        <f>SUM(Q2:Q6)-Q5</f>
        <v/>
      </c>
      <c r="R7" s="78" t="n"/>
      <c r="S7" s="78" t="n"/>
    </row>
    <row r="9" ht="16.5" customHeight="1" s="141">
      <c r="A9" s="68" t="inlineStr">
        <is>
          <t>연번</t>
        </is>
      </c>
      <c r="B9" s="69" t="inlineStr">
        <is>
          <t>주문일자</t>
        </is>
      </c>
      <c r="C9" s="68" t="inlineStr">
        <is>
          <t>매장명</t>
        </is>
      </c>
      <c r="D9" s="68" t="inlineStr">
        <is>
          <t>작물명</t>
        </is>
      </c>
      <c r="E9" s="68" t="inlineStr">
        <is>
          <t>단가(g)</t>
        </is>
      </c>
      <c r="F9" s="185" t="inlineStr">
        <is>
          <t>주문수량(g)</t>
        </is>
      </c>
      <c r="G9" s="186" t="inlineStr">
        <is>
          <t>금액</t>
        </is>
      </c>
      <c r="H9" s="69" t="inlineStr">
        <is>
          <t>납품일자</t>
        </is>
      </c>
      <c r="I9" s="72" t="inlineStr">
        <is>
          <t>비고</t>
        </is>
      </c>
      <c r="K9" s="68" t="inlineStr">
        <is>
          <t>연번</t>
        </is>
      </c>
      <c r="L9" s="69" t="inlineStr">
        <is>
          <t>주문일자</t>
        </is>
      </c>
      <c r="M9" s="68" t="inlineStr">
        <is>
          <t>매장명</t>
        </is>
      </c>
      <c r="N9" s="68" t="inlineStr">
        <is>
          <t>작물명</t>
        </is>
      </c>
      <c r="O9" s="68" t="inlineStr">
        <is>
          <t>단가(g)</t>
        </is>
      </c>
      <c r="P9" s="185" t="inlineStr">
        <is>
          <t>주문수량(g)</t>
        </is>
      </c>
      <c r="Q9" s="186" t="inlineStr">
        <is>
          <t>금액</t>
        </is>
      </c>
      <c r="R9" s="69" t="inlineStr">
        <is>
          <t>납품일자</t>
        </is>
      </c>
      <c r="S9" s="72" t="inlineStr">
        <is>
          <t>비고</t>
        </is>
      </c>
    </row>
    <row r="10" ht="16.5" customHeight="1" s="141">
      <c r="A10" s="57" t="n">
        <v>1</v>
      </c>
      <c r="B10" s="73" t="n">
        <v>45904</v>
      </c>
      <c r="C10" s="57" t="inlineStr">
        <is>
          <t>까미노</t>
        </is>
      </c>
      <c r="D10" s="57" t="inlineStr">
        <is>
          <t>루꼴라</t>
        </is>
      </c>
      <c r="E10" s="57" t="n">
        <v>17.7</v>
      </c>
      <c r="F10" s="187" t="n">
        <v>1000</v>
      </c>
      <c r="G10" s="188" t="n">
        <v>17700</v>
      </c>
      <c r="H10" s="73" t="n">
        <v>45904</v>
      </c>
      <c r="I10" s="58" t="n"/>
      <c r="K10" s="57" t="n">
        <v>1</v>
      </c>
      <c r="L10" s="73" t="n">
        <v>45929</v>
      </c>
      <c r="M10" s="57" t="inlineStr">
        <is>
          <t>화수브루어리</t>
        </is>
      </c>
      <c r="N10" s="57" t="inlineStr">
        <is>
          <t>루꼴라</t>
        </is>
      </c>
      <c r="O10" s="57" t="n">
        <v>17.7</v>
      </c>
      <c r="P10" s="187" t="n">
        <v>500</v>
      </c>
      <c r="Q10" s="188" t="n">
        <v>8850</v>
      </c>
      <c r="R10" s="73" t="n">
        <v>45930</v>
      </c>
      <c r="S10" s="58" t="n"/>
    </row>
    <row r="11" ht="16.5" customHeight="1" s="141">
      <c r="A11" s="57" t="n">
        <v>2</v>
      </c>
      <c r="B11" s="73" t="n">
        <v>45909</v>
      </c>
      <c r="C11" s="57" t="inlineStr">
        <is>
          <t>까미노</t>
        </is>
      </c>
      <c r="D11" s="57" t="inlineStr">
        <is>
          <t>루꼴라</t>
        </is>
      </c>
      <c r="E11" s="57" t="n">
        <v>17.7</v>
      </c>
      <c r="F11" s="187" t="n">
        <v>300</v>
      </c>
      <c r="G11" s="188" t="n">
        <v>0</v>
      </c>
      <c r="H11" s="73" t="n">
        <v>45911</v>
      </c>
      <c r="I11" s="58" t="inlineStr">
        <is>
          <t>시식용</t>
        </is>
      </c>
      <c r="K11" s="76" t="inlineStr">
        <is>
          <t>계</t>
        </is>
      </c>
      <c r="L11" s="76" t="n"/>
      <c r="M11" s="76" t="n"/>
      <c r="N11" s="76" t="n"/>
      <c r="O11" s="76" t="n"/>
      <c r="P11" s="76" t="n"/>
      <c r="Q11" s="189">
        <f>SUM(Q10)</f>
        <v/>
      </c>
      <c r="R11" s="78" t="n"/>
      <c r="S11" s="78" t="n"/>
    </row>
    <row r="12" ht="16.5" customHeight="1" s="141">
      <c r="A12" s="57" t="n">
        <v>3</v>
      </c>
      <c r="B12" s="73" t="n">
        <v>45909</v>
      </c>
      <c r="C12" s="57" t="inlineStr">
        <is>
          <t>까미노</t>
        </is>
      </c>
      <c r="D12" s="57" t="inlineStr">
        <is>
          <t>루꼴라</t>
        </is>
      </c>
      <c r="E12" s="57" t="n">
        <v>17.7</v>
      </c>
      <c r="F12" s="187" t="n">
        <v>500</v>
      </c>
      <c r="G12" s="188" t="n">
        <v>8850</v>
      </c>
      <c r="H12" s="73" t="n">
        <v>45911</v>
      </c>
      <c r="I12" s="58" t="n"/>
    </row>
    <row r="13" ht="16.5" customHeight="1" s="141">
      <c r="A13" s="57" t="n">
        <v>4</v>
      </c>
      <c r="B13" s="73" t="n">
        <v>45915</v>
      </c>
      <c r="C13" s="57" t="inlineStr">
        <is>
          <t>까미노</t>
        </is>
      </c>
      <c r="D13" s="57" t="inlineStr">
        <is>
          <t>루꼴라</t>
        </is>
      </c>
      <c r="E13" s="57" t="n">
        <v>17.7</v>
      </c>
      <c r="F13" s="187" t="n">
        <v>500</v>
      </c>
      <c r="G13" s="188" t="n">
        <v>8850</v>
      </c>
      <c r="H13" s="73" t="n">
        <v>45916</v>
      </c>
      <c r="I13" s="58" t="n"/>
    </row>
    <row r="14" ht="16.5" customHeight="1" s="141">
      <c r="A14" s="57" t="n">
        <v>5</v>
      </c>
      <c r="B14" s="73" t="n">
        <v>45918</v>
      </c>
      <c r="C14" s="57" t="inlineStr">
        <is>
          <t>까미노</t>
        </is>
      </c>
      <c r="D14" s="57" t="inlineStr">
        <is>
          <t>루꼴라</t>
        </is>
      </c>
      <c r="E14" s="57" t="n">
        <v>17.7</v>
      </c>
      <c r="F14" s="187" t="n">
        <v>1000</v>
      </c>
      <c r="G14" s="188" t="n">
        <v>17700</v>
      </c>
      <c r="H14" s="73" t="n">
        <v>45919</v>
      </c>
      <c r="I14" s="58" t="n"/>
    </row>
    <row r="15" ht="16.5" customHeight="1" s="141">
      <c r="A15" s="57" t="n">
        <v>6</v>
      </c>
      <c r="B15" s="73" t="n">
        <v>45918</v>
      </c>
      <c r="C15" s="57" t="inlineStr">
        <is>
          <t>까미노</t>
        </is>
      </c>
      <c r="D15" s="57" t="n"/>
      <c r="E15" s="57" t="n"/>
      <c r="F15" s="187" t="n"/>
      <c r="G15" s="188" t="n">
        <v>-11000</v>
      </c>
      <c r="H15" s="73" t="n"/>
      <c r="I15" s="58" t="inlineStr">
        <is>
          <t>기자 인터뷰 시식(빵 2개)</t>
        </is>
      </c>
    </row>
    <row r="16" ht="16.5" customHeight="1" s="141">
      <c r="A16" s="57" t="n">
        <v>7</v>
      </c>
      <c r="B16" s="73" t="n">
        <v>45922</v>
      </c>
      <c r="C16" s="57" t="inlineStr">
        <is>
          <t>까미노</t>
        </is>
      </c>
      <c r="D16" s="57" t="inlineStr">
        <is>
          <t>루꼴라</t>
        </is>
      </c>
      <c r="E16" s="57" t="n">
        <v>17.7</v>
      </c>
      <c r="F16" s="187" t="n">
        <v>500</v>
      </c>
      <c r="G16" s="188" t="n">
        <v>8850</v>
      </c>
      <c r="H16" s="73" t="n">
        <v>45923</v>
      </c>
      <c r="I16" s="58" t="n"/>
    </row>
    <row r="17" ht="16.5" customHeight="1" s="141">
      <c r="A17" s="57" t="n">
        <v>8</v>
      </c>
      <c r="B17" s="73" t="n">
        <v>45925</v>
      </c>
      <c r="C17" s="57" t="inlineStr">
        <is>
          <t>까미노</t>
        </is>
      </c>
      <c r="D17" s="57" t="inlineStr">
        <is>
          <t>루꼴라</t>
        </is>
      </c>
      <c r="E17" s="57" t="n">
        <v>17.7</v>
      </c>
      <c r="F17" s="187" t="n">
        <v>700</v>
      </c>
      <c r="G17" s="188" t="n">
        <v>12390</v>
      </c>
      <c r="H17" s="73" t="n">
        <v>45926</v>
      </c>
      <c r="I17" s="58" t="n"/>
    </row>
    <row r="18" ht="16.5" customHeight="1" s="141">
      <c r="A18" s="57" t="n">
        <v>9</v>
      </c>
      <c r="B18" s="73" t="n">
        <v>45929</v>
      </c>
      <c r="C18" s="57" t="inlineStr">
        <is>
          <t>까미노</t>
        </is>
      </c>
      <c r="D18" s="57" t="inlineStr">
        <is>
          <t>루꼴라</t>
        </is>
      </c>
      <c r="E18" s="57" t="n">
        <v>17.7</v>
      </c>
      <c r="F18" s="187" t="n">
        <v>2000</v>
      </c>
      <c r="G18" s="188" t="n">
        <v>35400</v>
      </c>
      <c r="H18" s="73" t="n">
        <v>45930</v>
      </c>
      <c r="I18" s="58" t="n"/>
    </row>
    <row r="19" ht="16.5" customHeight="1" s="141">
      <c r="A19" s="76" t="inlineStr">
        <is>
          <t>계</t>
        </is>
      </c>
      <c r="B19" s="76" t="n"/>
      <c r="C19" s="76" t="n"/>
      <c r="D19" s="76" t="n"/>
      <c r="E19" s="76" t="n"/>
      <c r="F19" s="76" t="n"/>
      <c r="G19" s="189">
        <f>SUM(G10:G18)-G15</f>
        <v/>
      </c>
      <c r="H19" s="78" t="n"/>
      <c r="I19" s="78" t="n"/>
    </row>
    <row r="22" ht="16.5" customHeight="1" s="141">
      <c r="A22" s="68" t="inlineStr">
        <is>
          <t>연번</t>
        </is>
      </c>
      <c r="B22" s="69" t="inlineStr">
        <is>
          <t>주문일자</t>
        </is>
      </c>
      <c r="C22" s="68" t="inlineStr">
        <is>
          <t>매장명</t>
        </is>
      </c>
      <c r="D22" s="68" t="inlineStr">
        <is>
          <t>작물명</t>
        </is>
      </c>
      <c r="E22" s="68" t="inlineStr">
        <is>
          <t>단가(g)</t>
        </is>
      </c>
      <c r="F22" s="185" t="inlineStr">
        <is>
          <t>주문수량(g)</t>
        </is>
      </c>
      <c r="G22" s="186" t="inlineStr">
        <is>
          <t>금액</t>
        </is>
      </c>
      <c r="H22" s="69" t="inlineStr">
        <is>
          <t>납품일자</t>
        </is>
      </c>
      <c r="I22" s="72" t="inlineStr">
        <is>
          <t>비고</t>
        </is>
      </c>
    </row>
    <row r="23" ht="16.5" customHeight="1" s="141">
      <c r="A23" s="57" t="n">
        <v>1</v>
      </c>
      <c r="B23" s="73" t="n">
        <v>45904</v>
      </c>
      <c r="C23" s="57" t="inlineStr">
        <is>
          <t>미즐 카페엠</t>
        </is>
      </c>
      <c r="D23" s="57" t="inlineStr">
        <is>
          <t>루꼴라</t>
        </is>
      </c>
      <c r="E23" s="57" t="n">
        <v>17.7</v>
      </c>
      <c r="F23" s="187" t="n">
        <v>100</v>
      </c>
      <c r="G23" s="188" t="n">
        <v>1770</v>
      </c>
      <c r="H23" s="73" t="n">
        <v>45904</v>
      </c>
      <c r="I23" s="58" t="n"/>
    </row>
    <row r="24" ht="16.5" customHeight="1" s="141">
      <c r="A24" s="57" t="n">
        <v>2</v>
      </c>
      <c r="B24" s="73" t="n">
        <v>45910</v>
      </c>
      <c r="C24" s="57" t="inlineStr">
        <is>
          <t>미즐 카페엠</t>
        </is>
      </c>
      <c r="D24" s="57" t="inlineStr">
        <is>
          <t>루꼴라</t>
        </is>
      </c>
      <c r="E24" s="57" t="n"/>
      <c r="F24" s="187" t="n">
        <v>100</v>
      </c>
      <c r="G24" s="188" t="n">
        <v>0</v>
      </c>
      <c r="H24" s="73" t="n">
        <v>45911</v>
      </c>
      <c r="I24" s="58" t="inlineStr">
        <is>
          <t>시식용</t>
        </is>
      </c>
    </row>
    <row r="25" ht="16.5" customHeight="1" s="141">
      <c r="A25" s="57" t="n">
        <v>3</v>
      </c>
      <c r="B25" s="73" t="n">
        <v>45910</v>
      </c>
      <c r="C25" s="57" t="inlineStr">
        <is>
          <t>미즐 카페엠</t>
        </is>
      </c>
      <c r="D25" s="57" t="inlineStr">
        <is>
          <t>루꼴라</t>
        </is>
      </c>
      <c r="E25" s="57" t="n">
        <v>17.7</v>
      </c>
      <c r="F25" s="187" t="n">
        <v>100</v>
      </c>
      <c r="G25" s="188" t="n">
        <v>1770</v>
      </c>
      <c r="H25" s="73" t="n">
        <v>45911</v>
      </c>
      <c r="I25" s="58" t="n"/>
    </row>
    <row r="26" ht="16.5" customHeight="1" s="141">
      <c r="A26" s="57" t="n">
        <v>4</v>
      </c>
      <c r="B26" s="73" t="n">
        <v>45910</v>
      </c>
      <c r="C26" s="57" t="inlineStr">
        <is>
          <t>미즐 카페엠</t>
        </is>
      </c>
      <c r="D26" s="57" t="inlineStr">
        <is>
          <t>엽채류</t>
        </is>
      </c>
      <c r="E26" s="57" t="n"/>
      <c r="F26" s="187" t="n"/>
      <c r="G26" s="188" t="n">
        <v>0</v>
      </c>
      <c r="H26" s="73" t="n">
        <v>45911</v>
      </c>
      <c r="I26" s="58" t="inlineStr">
        <is>
          <t>종류별</t>
        </is>
      </c>
    </row>
    <row r="27" ht="16.5" customHeight="1" s="141">
      <c r="A27" s="57" t="n">
        <v>5</v>
      </c>
      <c r="B27" s="73" t="n">
        <v>45915</v>
      </c>
      <c r="C27" s="57" t="inlineStr">
        <is>
          <t>미즐 카페엠</t>
        </is>
      </c>
      <c r="D27" s="57" t="inlineStr">
        <is>
          <t>루꼴라</t>
        </is>
      </c>
      <c r="E27" s="57" t="n">
        <v>17.7</v>
      </c>
      <c r="F27" s="187" t="n">
        <v>300</v>
      </c>
      <c r="G27" s="188" t="n">
        <v>5310</v>
      </c>
      <c r="H27" s="73" t="n">
        <v>45919</v>
      </c>
      <c r="I27" s="58" t="inlineStr">
        <is>
          <t>금요일 납품</t>
        </is>
      </c>
    </row>
    <row r="28" ht="16.5" customHeight="1" s="141">
      <c r="A28" s="57" t="n">
        <v>6</v>
      </c>
      <c r="B28" s="73" t="n">
        <v>45915</v>
      </c>
      <c r="C28" s="57" t="inlineStr">
        <is>
          <t>미즐 카페엠</t>
        </is>
      </c>
      <c r="D28" s="57" t="inlineStr">
        <is>
          <t>엽채류</t>
        </is>
      </c>
      <c r="E28" s="57" t="n">
        <v>17.7</v>
      </c>
      <c r="F28" s="187" t="n">
        <v>300</v>
      </c>
      <c r="G28" s="188" t="n">
        <v>3450</v>
      </c>
      <c r="H28" s="73" t="n">
        <v>45919</v>
      </c>
      <c r="I28" s="58" t="inlineStr">
        <is>
          <t>금요일 납품</t>
        </is>
      </c>
    </row>
    <row r="29" ht="16.5" customHeight="1" s="141">
      <c r="A29" s="57" t="n">
        <v>7</v>
      </c>
      <c r="B29" s="73" t="n">
        <v>45929</v>
      </c>
      <c r="C29" s="57" t="inlineStr">
        <is>
          <t>미즐 카페엠</t>
        </is>
      </c>
      <c r="D29" s="57" t="inlineStr">
        <is>
          <t>엽채류</t>
        </is>
      </c>
      <c r="E29" s="57" t="n">
        <v>17.7</v>
      </c>
      <c r="F29" s="187" t="n">
        <v>300</v>
      </c>
      <c r="G29" s="188" t="n">
        <v>3450</v>
      </c>
      <c r="H29" s="73" t="n">
        <v>45930</v>
      </c>
      <c r="I29" s="58" t="n"/>
    </row>
    <row r="30" ht="16.5" customHeight="1" s="141">
      <c r="A30" s="76" t="inlineStr">
        <is>
          <t>계</t>
        </is>
      </c>
      <c r="B30" s="76" t="n"/>
      <c r="C30" s="76" t="n"/>
      <c r="D30" s="76" t="n"/>
      <c r="E30" s="76" t="n"/>
      <c r="F30" s="76" t="n"/>
      <c r="G30" s="189">
        <f>SUM(G23:G29)</f>
        <v/>
      </c>
      <c r="H30" s="78" t="n"/>
      <c r="I30" s="78" t="n"/>
    </row>
  </sheetData>
  <pageMargins left="0.7" right="0.7" top="0.75" bottom="0.75" header="0.3" footer="0.3"/>
  <pageSetup orientation="landscape" paperSize="9" scale="55" useFirstPageNumber="1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J20" sqref="J20"/>
    </sheetView>
  </sheetViews>
  <sheetFormatPr baseColWidth="8" defaultColWidth="9.125" defaultRowHeight="16.5" customHeight="1"/>
  <cols>
    <col width="11.125" customWidth="1" style="141" min="1" max="1"/>
    <col width="12.25" customWidth="1" style="141" min="2" max="2"/>
    <col width="13.375" customWidth="1" style="141" min="5" max="5"/>
    <col width="10.625" customWidth="1" style="141" min="6" max="6"/>
    <col width="12" customWidth="1" style="141" min="7" max="7"/>
    <col width="11.125" customWidth="1" style="141" min="10" max="10"/>
    <col width="11.625" customWidth="1" style="141" min="11" max="11"/>
    <col width="13.375" customWidth="1" style="141" min="14" max="14"/>
    <col width="9.375" customWidth="1" style="141" min="15" max="15"/>
    <col width="11.625" customWidth="1" style="141" min="16" max="16"/>
  </cols>
  <sheetData>
    <row r="1" ht="16.5" customHeight="1" s="141">
      <c r="A1" s="79" t="inlineStr">
        <is>
          <t>주문일자</t>
        </is>
      </c>
      <c r="B1" s="80" t="inlineStr">
        <is>
          <t>매장명</t>
        </is>
      </c>
      <c r="C1" s="80" t="inlineStr">
        <is>
          <t>작물명</t>
        </is>
      </c>
      <c r="D1" s="80" t="inlineStr">
        <is>
          <t>단가</t>
        </is>
      </c>
      <c r="E1" s="190" t="inlineStr">
        <is>
          <t>주문수량(g)</t>
        </is>
      </c>
      <c r="F1" s="191" t="inlineStr">
        <is>
          <t>금액</t>
        </is>
      </c>
      <c r="G1" s="79" t="inlineStr">
        <is>
          <t>납품일자</t>
        </is>
      </c>
      <c r="H1" s="83" t="inlineStr">
        <is>
          <t>비고</t>
        </is>
      </c>
      <c r="J1" s="79" t="inlineStr">
        <is>
          <t>주문일자</t>
        </is>
      </c>
      <c r="K1" s="80" t="inlineStr">
        <is>
          <t>매장명</t>
        </is>
      </c>
      <c r="L1" s="80" t="inlineStr">
        <is>
          <t>작물명</t>
        </is>
      </c>
      <c r="M1" s="80" t="inlineStr">
        <is>
          <t>단가</t>
        </is>
      </c>
      <c r="N1" s="190" t="inlineStr">
        <is>
          <t>주문수량(g)</t>
        </is>
      </c>
      <c r="O1" s="191" t="inlineStr">
        <is>
          <t>금액</t>
        </is>
      </c>
      <c r="P1" s="79" t="inlineStr">
        <is>
          <t>납품일자</t>
        </is>
      </c>
      <c r="Q1" s="83" t="inlineStr">
        <is>
          <t>비고</t>
        </is>
      </c>
    </row>
    <row r="2" ht="16.5" customHeight="1" s="141">
      <c r="A2" s="73" t="n">
        <v>45909</v>
      </c>
      <c r="B2" s="57" t="inlineStr">
        <is>
          <t>봄타코</t>
        </is>
      </c>
      <c r="C2" s="57" t="inlineStr">
        <is>
          <t>루꼴라</t>
        </is>
      </c>
      <c r="D2" s="57" t="n">
        <v>17.7</v>
      </c>
      <c r="E2" s="187" t="n">
        <v>800</v>
      </c>
      <c r="F2" s="188" t="n">
        <v>14160</v>
      </c>
      <c r="G2" s="73" t="n">
        <v>45911</v>
      </c>
      <c r="H2" s="58" t="n"/>
      <c r="J2" s="73" t="n">
        <v>45945</v>
      </c>
      <c r="K2" s="57" t="inlineStr">
        <is>
          <t>미즐 카페엠</t>
        </is>
      </c>
      <c r="L2" s="57" t="inlineStr">
        <is>
          <t>루꼴라</t>
        </is>
      </c>
      <c r="M2" s="57" t="n">
        <v>17.7</v>
      </c>
      <c r="N2" s="187" t="n">
        <v>200</v>
      </c>
      <c r="O2" s="188" t="n">
        <v>3540</v>
      </c>
      <c r="P2" s="73" t="n"/>
      <c r="Q2" s="58" t="n"/>
    </row>
    <row r="3" ht="16.5" customHeight="1" s="141">
      <c r="A3" s="73" t="n">
        <v>45909</v>
      </c>
      <c r="B3" s="57" t="inlineStr">
        <is>
          <t>봄타코</t>
        </is>
      </c>
      <c r="C3" s="57" t="inlineStr">
        <is>
          <t>루꼴라</t>
        </is>
      </c>
      <c r="D3" s="57" t="n">
        <v>17.7</v>
      </c>
      <c r="E3" s="187" t="n">
        <v>200</v>
      </c>
      <c r="F3" s="188" t="n">
        <v>0</v>
      </c>
      <c r="G3" s="73" t="n">
        <v>45911</v>
      </c>
      <c r="H3" s="58" t="inlineStr">
        <is>
          <t>시식용</t>
        </is>
      </c>
      <c r="J3" s="73" t="n">
        <v>45945</v>
      </c>
      <c r="K3" s="57" t="inlineStr">
        <is>
          <t>미즐 카페엠</t>
        </is>
      </c>
      <c r="L3" s="57" t="inlineStr">
        <is>
          <t>엽채류</t>
        </is>
      </c>
      <c r="M3" s="57" t="n">
        <v>11.5</v>
      </c>
      <c r="N3" s="187" t="n">
        <v>200</v>
      </c>
      <c r="O3" s="188" t="n">
        <v>2300</v>
      </c>
      <c r="P3" s="73" t="n"/>
      <c r="Q3" s="58" t="inlineStr">
        <is>
          <t>이자트릭스</t>
        </is>
      </c>
    </row>
    <row r="4" ht="16.5" customHeight="1" s="141">
      <c r="A4" s="73" t="n">
        <v>45918</v>
      </c>
      <c r="B4" s="57" t="inlineStr">
        <is>
          <t>봄타코</t>
        </is>
      </c>
      <c r="C4" s="57" t="inlineStr">
        <is>
          <t>루꼴라</t>
        </is>
      </c>
      <c r="D4" s="57" t="n">
        <v>17.7</v>
      </c>
      <c r="E4" s="187" t="n">
        <v>500</v>
      </c>
      <c r="F4" s="188" t="n">
        <v>8850</v>
      </c>
      <c r="G4" s="73" t="n">
        <v>45919</v>
      </c>
      <c r="H4" s="58" t="n"/>
      <c r="J4" s="73" t="n">
        <v>45954</v>
      </c>
      <c r="K4" s="57" t="inlineStr">
        <is>
          <t>미즐 카페엠</t>
        </is>
      </c>
      <c r="L4" s="57" t="inlineStr">
        <is>
          <t>루꼴라</t>
        </is>
      </c>
      <c r="M4" s="57" t="n">
        <v>17.7</v>
      </c>
      <c r="N4" s="187" t="n">
        <v>300</v>
      </c>
      <c r="O4" s="188" t="n">
        <v>5310</v>
      </c>
      <c r="P4" s="73" t="n"/>
      <c r="Q4" s="58" t="n"/>
    </row>
    <row r="5" ht="16.5" customHeight="1" s="141">
      <c r="A5" s="73" t="n">
        <v>45918</v>
      </c>
      <c r="B5" s="57" t="inlineStr">
        <is>
          <t>봄타코</t>
        </is>
      </c>
      <c r="C5" s="57" t="n"/>
      <c r="D5" s="57" t="n"/>
      <c r="E5" s="187" t="n"/>
      <c r="F5" s="188" t="n">
        <v>-11000</v>
      </c>
      <c r="G5" s="73" t="n"/>
      <c r="H5" s="58" t="inlineStr">
        <is>
          <t>기자 인터뷰 시식(타코 1개)</t>
        </is>
      </c>
      <c r="J5" s="73" t="n">
        <v>45954</v>
      </c>
      <c r="K5" s="57" t="inlineStr">
        <is>
          <t>미즐 카페엠</t>
        </is>
      </c>
      <c r="L5" s="57" t="inlineStr">
        <is>
          <t>엽채류</t>
        </is>
      </c>
      <c r="M5" s="57" t="n">
        <v>11.5</v>
      </c>
      <c r="N5" s="187" t="n">
        <v>300</v>
      </c>
      <c r="O5" s="188" t="n">
        <v>3450</v>
      </c>
      <c r="P5" s="73" t="n"/>
      <c r="Q5" s="58" t="inlineStr">
        <is>
          <t>이자트릭스</t>
        </is>
      </c>
    </row>
    <row r="6" ht="16.5" customHeight="1" s="141">
      <c r="A6" s="73" t="n">
        <v>45925</v>
      </c>
      <c r="B6" s="57" t="inlineStr">
        <is>
          <t>봄타코</t>
        </is>
      </c>
      <c r="C6" s="57" t="inlineStr">
        <is>
          <t>루꼴라</t>
        </is>
      </c>
      <c r="D6" s="57" t="n">
        <v>17.7</v>
      </c>
      <c r="E6" s="187" t="n">
        <v>500</v>
      </c>
      <c r="F6" s="188" t="n">
        <v>8850</v>
      </c>
      <c r="G6" s="73" t="n">
        <v>45926</v>
      </c>
      <c r="H6" s="58" t="n"/>
      <c r="J6" s="76" t="inlineStr">
        <is>
          <t>계</t>
        </is>
      </c>
      <c r="K6" s="76" t="n"/>
      <c r="L6" s="76" t="n"/>
      <c r="M6" s="76" t="n"/>
      <c r="N6" s="76" t="n"/>
      <c r="O6" s="189">
        <f>SUM(O2:O5)</f>
        <v/>
      </c>
      <c r="P6" s="84" t="n"/>
      <c r="Q6" s="84" t="n"/>
    </row>
    <row r="7" ht="16.5" customHeight="1" s="141">
      <c r="A7" s="73" t="n">
        <v>45931</v>
      </c>
      <c r="B7" s="57" t="inlineStr">
        <is>
          <t>봄타코</t>
        </is>
      </c>
      <c r="C7" s="57" t="inlineStr">
        <is>
          <t>루꼴라</t>
        </is>
      </c>
      <c r="D7" s="57" t="n">
        <v>17.7</v>
      </c>
      <c r="E7" s="187" t="n">
        <v>600</v>
      </c>
      <c r="F7" s="188" t="n">
        <v>10620</v>
      </c>
      <c r="G7" s="73" t="n">
        <v>45932</v>
      </c>
      <c r="H7" s="58" t="n"/>
    </row>
    <row r="8" ht="16.5" customHeight="1" s="141">
      <c r="A8" s="76" t="inlineStr">
        <is>
          <t>계</t>
        </is>
      </c>
      <c r="B8" s="76" t="n"/>
      <c r="C8" s="76" t="n"/>
      <c r="D8" s="76" t="n"/>
      <c r="E8" s="76" t="n"/>
      <c r="F8" s="189">
        <f>SUM(F2:F7)-F5</f>
        <v/>
      </c>
      <c r="G8" s="84" t="n"/>
      <c r="H8" s="84" t="n"/>
    </row>
    <row r="11" ht="16.5" customHeight="1" s="141">
      <c r="A11" s="79" t="inlineStr">
        <is>
          <t>주문일자</t>
        </is>
      </c>
      <c r="B11" s="80" t="inlineStr">
        <is>
          <t>매장명</t>
        </is>
      </c>
      <c r="C11" s="80" t="inlineStr">
        <is>
          <t>작물명</t>
        </is>
      </c>
      <c r="D11" s="80" t="inlineStr">
        <is>
          <t>단가</t>
        </is>
      </c>
      <c r="E11" s="190" t="inlineStr">
        <is>
          <t>주문수량(g)</t>
        </is>
      </c>
      <c r="F11" s="191" t="inlineStr">
        <is>
          <t>금액</t>
        </is>
      </c>
      <c r="G11" s="79" t="inlineStr">
        <is>
          <t>납품일자</t>
        </is>
      </c>
      <c r="H11" s="83" t="inlineStr">
        <is>
          <t>비고</t>
        </is>
      </c>
      <c r="J11" s="79" t="inlineStr">
        <is>
          <t>주문일자</t>
        </is>
      </c>
      <c r="K11" s="80" t="inlineStr">
        <is>
          <t>매장명</t>
        </is>
      </c>
      <c r="L11" s="80" t="inlineStr">
        <is>
          <t>작물명</t>
        </is>
      </c>
      <c r="M11" s="80" t="inlineStr">
        <is>
          <t>단가</t>
        </is>
      </c>
      <c r="N11" s="190" t="inlineStr">
        <is>
          <t>주문수량(g)</t>
        </is>
      </c>
      <c r="O11" s="191" t="inlineStr">
        <is>
          <t>금액</t>
        </is>
      </c>
      <c r="P11" s="79" t="inlineStr">
        <is>
          <t>납품일자</t>
        </is>
      </c>
      <c r="Q11" s="83" t="inlineStr">
        <is>
          <t>비고</t>
        </is>
      </c>
    </row>
    <row r="12" ht="16.5" customHeight="1" s="141">
      <c r="A12" s="73" t="n">
        <v>45943</v>
      </c>
      <c r="B12" s="57" t="inlineStr">
        <is>
          <t>419국수김밥</t>
        </is>
      </c>
      <c r="C12" s="57" t="inlineStr">
        <is>
          <t>루꼴라</t>
        </is>
      </c>
      <c r="D12" s="57" t="n">
        <v>17.7</v>
      </c>
      <c r="E12" s="187" t="n">
        <v>5000</v>
      </c>
      <c r="F12" s="188" t="n">
        <v>88500</v>
      </c>
      <c r="G12" s="73" t="n">
        <v>45944</v>
      </c>
      <c r="H12" s="58" t="n"/>
      <c r="J12" s="73" t="n">
        <v>45945</v>
      </c>
      <c r="K12" s="57" t="inlineStr">
        <is>
          <t>크을농</t>
        </is>
      </c>
      <c r="L12" s="57" t="inlineStr">
        <is>
          <t>루꼴라</t>
        </is>
      </c>
      <c r="M12" s="57" t="n">
        <v>17.7</v>
      </c>
      <c r="N12" s="187" t="n">
        <v>4000</v>
      </c>
      <c r="O12" s="192" t="n">
        <v>70800</v>
      </c>
      <c r="P12" s="73" t="n"/>
      <c r="Q12" s="58" t="n"/>
    </row>
    <row r="13" ht="16.5" customHeight="1" s="141">
      <c r="A13" s="73" t="n">
        <v>45951</v>
      </c>
      <c r="B13" s="57" t="inlineStr">
        <is>
          <t>419국수김밥</t>
        </is>
      </c>
      <c r="C13" s="57" t="inlineStr">
        <is>
          <t>루꼴라</t>
        </is>
      </c>
      <c r="D13" s="57" t="n">
        <v>17.7</v>
      </c>
      <c r="E13" s="187" t="n">
        <v>1000</v>
      </c>
      <c r="F13" s="188" t="n">
        <v>17700</v>
      </c>
      <c r="G13" s="73" t="n"/>
      <c r="H13" s="58" t="n"/>
      <c r="J13" s="73" t="n">
        <v>45960</v>
      </c>
      <c r="K13" s="57" t="inlineStr">
        <is>
          <t>크을농</t>
        </is>
      </c>
      <c r="L13" s="57" t="inlineStr">
        <is>
          <t>루꼴라</t>
        </is>
      </c>
      <c r="M13" s="57" t="n">
        <v>17.7</v>
      </c>
      <c r="N13" s="187" t="n">
        <v>200</v>
      </c>
      <c r="O13" s="192" t="n">
        <v>3540</v>
      </c>
      <c r="P13" s="73" t="n"/>
      <c r="Q13" s="58" t="n"/>
    </row>
    <row r="14" ht="16.5" customHeight="1" s="141">
      <c r="A14" s="76" t="inlineStr">
        <is>
          <t>계</t>
        </is>
      </c>
      <c r="B14" s="76" t="n"/>
      <c r="C14" s="76" t="n"/>
      <c r="D14" s="76" t="n"/>
      <c r="E14" s="76" t="n"/>
      <c r="F14" s="189">
        <f>SUM(F12:F13)</f>
        <v/>
      </c>
      <c r="G14" s="84" t="n"/>
      <c r="H14" s="84" t="n"/>
      <c r="J14" s="86" t="inlineStr">
        <is>
          <t>계</t>
        </is>
      </c>
      <c r="K14" s="86" t="n"/>
      <c r="L14" s="86" t="n"/>
      <c r="M14" s="86" t="n"/>
      <c r="N14" s="86" t="n"/>
      <c r="O14" s="193">
        <f>SUM(O12:O13)</f>
        <v/>
      </c>
      <c r="P14" s="88" t="n"/>
      <c r="Q14" s="88" t="n"/>
    </row>
    <row r="15" ht="16.5" customHeight="1" s="141">
      <c r="A15" s="89" t="n"/>
      <c r="B15" s="89" t="n"/>
      <c r="C15" s="89" t="n"/>
      <c r="D15" s="89" t="n"/>
      <c r="E15" s="89" t="n"/>
      <c r="F15" s="194" t="n"/>
      <c r="G15" s="18" t="n"/>
      <c r="H15" s="18" t="n"/>
    </row>
    <row r="17" ht="16.5" customHeight="1" s="141">
      <c r="A17" s="79" t="inlineStr">
        <is>
          <t>주문일자</t>
        </is>
      </c>
      <c r="B17" s="80" t="inlineStr">
        <is>
          <t>매장명</t>
        </is>
      </c>
      <c r="C17" s="80" t="inlineStr">
        <is>
          <t>작물명</t>
        </is>
      </c>
      <c r="D17" s="80" t="inlineStr">
        <is>
          <t>단가</t>
        </is>
      </c>
      <c r="E17" s="190" t="inlineStr">
        <is>
          <t>주문수량(g)</t>
        </is>
      </c>
      <c r="F17" s="191" t="inlineStr">
        <is>
          <t>금액</t>
        </is>
      </c>
      <c r="G17" s="79" t="inlineStr">
        <is>
          <t>납품일자</t>
        </is>
      </c>
      <c r="H17" s="83" t="inlineStr">
        <is>
          <t>비고</t>
        </is>
      </c>
    </row>
    <row r="18" ht="16.5" customHeight="1" s="141">
      <c r="A18" s="73" t="n">
        <v>45940</v>
      </c>
      <c r="B18" s="57" t="inlineStr">
        <is>
          <t>까미노</t>
        </is>
      </c>
      <c r="C18" s="57" t="inlineStr">
        <is>
          <t>루꼴라</t>
        </is>
      </c>
      <c r="D18" s="57" t="n">
        <v>17.7</v>
      </c>
      <c r="E18" s="187" t="n">
        <v>1000</v>
      </c>
      <c r="F18" s="188" t="n">
        <v>17700</v>
      </c>
      <c r="G18" s="73" t="n">
        <v>45940</v>
      </c>
      <c r="H18" s="58" t="n"/>
      <c r="J18" s="79" t="inlineStr">
        <is>
          <t>주문일자</t>
        </is>
      </c>
      <c r="K18" s="80" t="inlineStr">
        <is>
          <t>매장명</t>
        </is>
      </c>
      <c r="L18" s="80" t="inlineStr">
        <is>
          <t>작물명</t>
        </is>
      </c>
      <c r="M18" s="80" t="inlineStr">
        <is>
          <t>단가</t>
        </is>
      </c>
      <c r="N18" s="190" t="inlineStr">
        <is>
          <t>주문수량(g)</t>
        </is>
      </c>
      <c r="O18" s="191" t="inlineStr">
        <is>
          <t>금액</t>
        </is>
      </c>
      <c r="P18" s="79" t="inlineStr">
        <is>
          <t>납품일자</t>
        </is>
      </c>
      <c r="Q18" s="83" t="inlineStr">
        <is>
          <t>비고</t>
        </is>
      </c>
    </row>
    <row r="19" ht="16.5" customHeight="1" s="141">
      <c r="A19" s="73" t="n">
        <v>45945</v>
      </c>
      <c r="B19" s="57" t="inlineStr">
        <is>
          <t>까미노</t>
        </is>
      </c>
      <c r="C19" s="57" t="inlineStr">
        <is>
          <t>루꼴라</t>
        </is>
      </c>
      <c r="D19" s="57" t="n">
        <v>17.7</v>
      </c>
      <c r="E19" s="187" t="n">
        <v>2000</v>
      </c>
      <c r="F19" s="188" t="n">
        <v>35400</v>
      </c>
      <c r="G19" s="73" t="n"/>
      <c r="H19" s="58" t="inlineStr">
        <is>
          <t>300g씩 소분 요청</t>
        </is>
      </c>
      <c r="J19" s="73" t="n">
        <v>45943</v>
      </c>
      <c r="K19" s="57" t="inlineStr">
        <is>
          <t>화수브루어리</t>
        </is>
      </c>
      <c r="L19" s="57" t="inlineStr">
        <is>
          <t>루꼴라</t>
        </is>
      </c>
      <c r="M19" s="57" t="n">
        <v>17.7</v>
      </c>
      <c r="N19" s="187" t="n">
        <v>500</v>
      </c>
      <c r="O19" s="192" t="n">
        <v>8850</v>
      </c>
      <c r="P19" s="73" t="n"/>
      <c r="Q19" s="58" t="n"/>
    </row>
    <row r="20" ht="16.5" customHeight="1" s="141">
      <c r="A20" s="73" t="n">
        <v>45950</v>
      </c>
      <c r="B20" s="57" t="inlineStr">
        <is>
          <t>까미노</t>
        </is>
      </c>
      <c r="C20" s="57" t="inlineStr">
        <is>
          <t>루꼴라</t>
        </is>
      </c>
      <c r="D20" s="57" t="n">
        <v>17.7</v>
      </c>
      <c r="E20" s="187" t="n">
        <v>1000</v>
      </c>
      <c r="F20" s="188" t="n">
        <v>17700</v>
      </c>
      <c r="G20" s="73" t="n"/>
      <c r="H20" s="58" t="inlineStr">
        <is>
          <t>300g씩 소분 요청</t>
        </is>
      </c>
    </row>
    <row r="21" ht="16.5" customHeight="1" s="141">
      <c r="A21" s="73" t="n">
        <v>45954</v>
      </c>
      <c r="B21" s="57" t="inlineStr">
        <is>
          <t>까미노</t>
        </is>
      </c>
      <c r="C21" s="57" t="inlineStr">
        <is>
          <t>루꼴라</t>
        </is>
      </c>
      <c r="D21" s="57" t="n">
        <v>17.7</v>
      </c>
      <c r="E21" s="187" t="n">
        <v>1500</v>
      </c>
      <c r="F21" s="188" t="n">
        <v>26550</v>
      </c>
      <c r="G21" s="73" t="n"/>
      <c r="H21" s="58" t="n"/>
    </row>
    <row r="22" ht="16.5" customHeight="1" s="141">
      <c r="A22" s="76" t="inlineStr">
        <is>
          <t>계</t>
        </is>
      </c>
      <c r="B22" s="76" t="n"/>
      <c r="C22" s="76" t="n"/>
      <c r="D22" s="76" t="n"/>
      <c r="E22" s="76" t="n"/>
      <c r="F22" s="189">
        <f>SUM(F18:F21)</f>
        <v/>
      </c>
      <c r="G22" s="84" t="n"/>
      <c r="H22" s="84" t="n"/>
    </row>
  </sheetData>
  <pageMargins left="0.7" right="0.7" top="0.75" bottom="0.75" header="0.3" footer="0.3"/>
  <pageSetup orientation="landscape" paperSize="9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2025-09-03T07:07:50Z</dcterms:created>
  <dcterms:modified xsi:type="dcterms:W3CDTF">2026-10-09T13:18:15Z</dcterms:modified>
  <cp:lastModifiedBy>기남 박</cp:lastModifiedBy>
  <cp:lastPrinted>2026-10-09T01:58:51Z</cp:lastPrinted>
</cp:coreProperties>
</file>